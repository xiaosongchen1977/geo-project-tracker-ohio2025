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xiaos\Downloads\budget analysis\pythonProject-ohio\"/>
    </mc:Choice>
  </mc:AlternateContent>
  <xr:revisionPtr revIDLastSave="0" documentId="13_ncr:1_{2D29796B-B86F-425B-9E38-2ED6E09D32CA}" xr6:coauthVersionLast="47" xr6:coauthVersionMax="47" xr10:uidLastSave="{00000000-0000-0000-0000-000000000000}"/>
  <bookViews>
    <workbookView xWindow="-96" yWindow="-96" windowWidth="23232" windowHeight="13872" activeTab="2" xr2:uid="{00000000-000D-0000-FFFF-FFFF00000000}"/>
  </bookViews>
  <sheets>
    <sheet name="personalist" sheetId="1" r:id="rId1"/>
    <sheet name="weekly hours" sheetId="2" r:id="rId2"/>
    <sheet name="labor Cos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F5EGlyhwzHswoO7EMSsKS7RinA5/9AqzVLi7VVDlUJQ="/>
    </ext>
  </extLst>
</workbook>
</file>

<file path=xl/calcChain.xml><?xml version="1.0" encoding="utf-8"?>
<calcChain xmlns="http://schemas.openxmlformats.org/spreadsheetml/2006/main">
  <c r="E2" i="2" l="1"/>
  <c r="E2" i="3" s="1"/>
  <c r="F2" i="2"/>
  <c r="G2" i="2"/>
  <c r="H2" i="2"/>
  <c r="I2" i="2"/>
  <c r="J2" i="2"/>
  <c r="K2" i="2"/>
  <c r="K2" i="3" s="1"/>
  <c r="L2" i="2"/>
  <c r="M2" i="2"/>
  <c r="N2" i="2"/>
  <c r="O2" i="2"/>
  <c r="O40" i="3" s="1"/>
  <c r="P2" i="2"/>
  <c r="Q2" i="2"/>
  <c r="R2" i="2"/>
  <c r="S2" i="2"/>
  <c r="T2" i="2"/>
  <c r="U2" i="2"/>
  <c r="U2" i="3" s="1"/>
  <c r="V2" i="2"/>
  <c r="V31" i="3" s="1"/>
  <c r="W2" i="2"/>
  <c r="X2" i="2"/>
  <c r="D2" i="2"/>
  <c r="E1" i="2"/>
  <c r="F1" i="2"/>
  <c r="G1" i="2"/>
  <c r="G1" i="3" s="1"/>
  <c r="H1" i="2"/>
  <c r="I1" i="2"/>
  <c r="I1" i="3" s="1"/>
  <c r="J1" i="2"/>
  <c r="J1" i="3" s="1"/>
  <c r="K1" i="2"/>
  <c r="K1" i="3" s="1"/>
  <c r="L1" i="2"/>
  <c r="L1" i="3" s="1"/>
  <c r="M1" i="2"/>
  <c r="M1" i="3" s="1"/>
  <c r="N1" i="2"/>
  <c r="O1" i="2"/>
  <c r="O1" i="3" s="1"/>
  <c r="P1" i="2"/>
  <c r="Q1" i="2"/>
  <c r="R1" i="2"/>
  <c r="S1" i="2"/>
  <c r="S1" i="3" s="1"/>
  <c r="T1" i="2"/>
  <c r="T1" i="3" s="1"/>
  <c r="U1" i="2"/>
  <c r="U1" i="3" s="1"/>
  <c r="V1" i="2"/>
  <c r="V1" i="3" s="1"/>
  <c r="W1" i="2"/>
  <c r="X1" i="2"/>
  <c r="D1" i="2"/>
  <c r="D1" i="3" s="1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A71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A70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A69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A68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A67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A66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A65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A64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A63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A62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A61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A60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A59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A58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A57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A56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A55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A54" i="3"/>
  <c r="V53" i="3"/>
  <c r="U53" i="3"/>
  <c r="T53" i="3"/>
  <c r="S53" i="3"/>
  <c r="R53" i="3"/>
  <c r="P53" i="3"/>
  <c r="O53" i="3"/>
  <c r="N53" i="3"/>
  <c r="M53" i="3"/>
  <c r="K53" i="3"/>
  <c r="J53" i="3"/>
  <c r="I53" i="3"/>
  <c r="H53" i="3"/>
  <c r="G53" i="3"/>
  <c r="E53" i="3"/>
  <c r="D53" i="3"/>
  <c r="A53" i="3"/>
  <c r="V52" i="3"/>
  <c r="U52" i="3"/>
  <c r="T52" i="3"/>
  <c r="S52" i="3"/>
  <c r="R52" i="3"/>
  <c r="P52" i="3"/>
  <c r="O52" i="3"/>
  <c r="N52" i="3"/>
  <c r="M52" i="3"/>
  <c r="L52" i="3"/>
  <c r="K52" i="3"/>
  <c r="J52" i="3"/>
  <c r="I52" i="3"/>
  <c r="H52" i="3"/>
  <c r="G52" i="3"/>
  <c r="E52" i="3"/>
  <c r="D52" i="3"/>
  <c r="A52" i="3"/>
  <c r="V51" i="3"/>
  <c r="U51" i="3"/>
  <c r="T51" i="3"/>
  <c r="S51" i="3"/>
  <c r="R51" i="3"/>
  <c r="P51" i="3"/>
  <c r="O51" i="3"/>
  <c r="N51" i="3"/>
  <c r="M51" i="3"/>
  <c r="L51" i="3"/>
  <c r="K51" i="3"/>
  <c r="J51" i="3"/>
  <c r="I51" i="3"/>
  <c r="H51" i="3"/>
  <c r="G51" i="3"/>
  <c r="E51" i="3"/>
  <c r="D51" i="3"/>
  <c r="A51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E50" i="3"/>
  <c r="D50" i="3"/>
  <c r="A50" i="3"/>
  <c r="V49" i="3"/>
  <c r="T49" i="3"/>
  <c r="S49" i="3"/>
  <c r="R49" i="3"/>
  <c r="Q49" i="3"/>
  <c r="P49" i="3"/>
  <c r="O49" i="3"/>
  <c r="N49" i="3"/>
  <c r="M49" i="3"/>
  <c r="L49" i="3"/>
  <c r="K49" i="3"/>
  <c r="J49" i="3"/>
  <c r="H49" i="3"/>
  <c r="E49" i="3"/>
  <c r="D49" i="3"/>
  <c r="A49" i="3"/>
  <c r="V48" i="3"/>
  <c r="T48" i="3"/>
  <c r="S48" i="3"/>
  <c r="R48" i="3"/>
  <c r="O48" i="3"/>
  <c r="N48" i="3"/>
  <c r="M48" i="3"/>
  <c r="L48" i="3"/>
  <c r="K48" i="3"/>
  <c r="J48" i="3"/>
  <c r="H48" i="3"/>
  <c r="F48" i="3"/>
  <c r="E48" i="3"/>
  <c r="D48" i="3"/>
  <c r="A48" i="3"/>
  <c r="V47" i="3"/>
  <c r="T47" i="3"/>
  <c r="S47" i="3"/>
  <c r="R47" i="3"/>
  <c r="O47" i="3"/>
  <c r="N47" i="3"/>
  <c r="M47" i="3"/>
  <c r="L47" i="3"/>
  <c r="K47" i="3"/>
  <c r="J47" i="3"/>
  <c r="I47" i="3"/>
  <c r="H47" i="3"/>
  <c r="G47" i="3"/>
  <c r="F47" i="3"/>
  <c r="E47" i="3"/>
  <c r="D47" i="3"/>
  <c r="A47" i="3"/>
  <c r="V46" i="3"/>
  <c r="U46" i="3"/>
  <c r="S46" i="3"/>
  <c r="R46" i="3"/>
  <c r="O46" i="3"/>
  <c r="N46" i="3"/>
  <c r="M46" i="3"/>
  <c r="K46" i="3"/>
  <c r="J46" i="3"/>
  <c r="G46" i="3"/>
  <c r="F46" i="3"/>
  <c r="E46" i="3"/>
  <c r="D46" i="3"/>
  <c r="A46" i="3"/>
  <c r="V45" i="3"/>
  <c r="U45" i="3"/>
  <c r="S45" i="3"/>
  <c r="R45" i="3"/>
  <c r="O45" i="3"/>
  <c r="N45" i="3"/>
  <c r="M45" i="3"/>
  <c r="K45" i="3"/>
  <c r="J45" i="3"/>
  <c r="I45" i="3"/>
  <c r="H45" i="3"/>
  <c r="G45" i="3"/>
  <c r="F45" i="3"/>
  <c r="E45" i="3"/>
  <c r="D45" i="3"/>
  <c r="A45" i="3"/>
  <c r="V44" i="3"/>
  <c r="S44" i="3"/>
  <c r="R44" i="3"/>
  <c r="Q44" i="3"/>
  <c r="P44" i="3"/>
  <c r="O44" i="3"/>
  <c r="N44" i="3"/>
  <c r="M44" i="3"/>
  <c r="K44" i="3"/>
  <c r="J44" i="3"/>
  <c r="I44" i="3"/>
  <c r="H44" i="3"/>
  <c r="G44" i="3"/>
  <c r="F44" i="3"/>
  <c r="E44" i="3"/>
  <c r="D44" i="3"/>
  <c r="A44" i="3"/>
  <c r="V43" i="3"/>
  <c r="T43" i="3"/>
  <c r="R43" i="3"/>
  <c r="O43" i="3"/>
  <c r="N43" i="3"/>
  <c r="M43" i="3"/>
  <c r="K43" i="3"/>
  <c r="J43" i="3"/>
  <c r="I43" i="3"/>
  <c r="H43" i="3"/>
  <c r="G43" i="3"/>
  <c r="F43" i="3"/>
  <c r="E43" i="3"/>
  <c r="D43" i="3"/>
  <c r="A43" i="3"/>
  <c r="V42" i="3"/>
  <c r="U42" i="3"/>
  <c r="T42" i="3"/>
  <c r="S42" i="3"/>
  <c r="R42" i="3"/>
  <c r="O42" i="3"/>
  <c r="N42" i="3"/>
  <c r="M42" i="3"/>
  <c r="L42" i="3"/>
  <c r="K42" i="3"/>
  <c r="J42" i="3"/>
  <c r="I42" i="3"/>
  <c r="H42" i="3"/>
  <c r="G42" i="3"/>
  <c r="F42" i="3"/>
  <c r="E42" i="3"/>
  <c r="D42" i="3"/>
  <c r="A42" i="3"/>
  <c r="V41" i="3"/>
  <c r="U41" i="3"/>
  <c r="T41" i="3"/>
  <c r="S41" i="3"/>
  <c r="R41" i="3"/>
  <c r="Q41" i="3"/>
  <c r="O41" i="3"/>
  <c r="N41" i="3"/>
  <c r="M41" i="3"/>
  <c r="L41" i="3"/>
  <c r="K41" i="3"/>
  <c r="J41" i="3"/>
  <c r="I41" i="3"/>
  <c r="H41" i="3"/>
  <c r="G41" i="3"/>
  <c r="F41" i="3"/>
  <c r="E41" i="3"/>
  <c r="D41" i="3"/>
  <c r="A41" i="3"/>
  <c r="U40" i="3"/>
  <c r="S40" i="3"/>
  <c r="N40" i="3"/>
  <c r="M40" i="3"/>
  <c r="K40" i="3"/>
  <c r="J40" i="3"/>
  <c r="I40" i="3"/>
  <c r="H40" i="3"/>
  <c r="G40" i="3"/>
  <c r="F40" i="3"/>
  <c r="E40" i="3"/>
  <c r="D40" i="3"/>
  <c r="A40" i="3"/>
  <c r="U39" i="3"/>
  <c r="T39" i="3"/>
  <c r="S39" i="3"/>
  <c r="N39" i="3"/>
  <c r="M39" i="3"/>
  <c r="K39" i="3"/>
  <c r="J39" i="3"/>
  <c r="I39" i="3"/>
  <c r="H39" i="3"/>
  <c r="G39" i="3"/>
  <c r="F39" i="3"/>
  <c r="E39" i="3"/>
  <c r="D39" i="3"/>
  <c r="A39" i="3"/>
  <c r="V38" i="3"/>
  <c r="U38" i="3"/>
  <c r="T38" i="3"/>
  <c r="S38" i="3"/>
  <c r="N38" i="3"/>
  <c r="M38" i="3"/>
  <c r="L38" i="3"/>
  <c r="K38" i="3"/>
  <c r="J38" i="3"/>
  <c r="H38" i="3"/>
  <c r="G38" i="3"/>
  <c r="F38" i="3"/>
  <c r="E38" i="3"/>
  <c r="D38" i="3"/>
  <c r="A38" i="3"/>
  <c r="V37" i="3"/>
  <c r="U37" i="3"/>
  <c r="T37" i="3"/>
  <c r="S37" i="3"/>
  <c r="R37" i="3"/>
  <c r="Q37" i="3"/>
  <c r="O37" i="3"/>
  <c r="N37" i="3"/>
  <c r="M37" i="3"/>
  <c r="L37" i="3"/>
  <c r="K37" i="3"/>
  <c r="J37" i="3"/>
  <c r="H37" i="3"/>
  <c r="G37" i="3"/>
  <c r="F37" i="3"/>
  <c r="E37" i="3"/>
  <c r="D37" i="3"/>
  <c r="A37" i="3"/>
  <c r="U36" i="3"/>
  <c r="T36" i="3"/>
  <c r="Q36" i="3"/>
  <c r="P36" i="3"/>
  <c r="N36" i="3"/>
  <c r="M36" i="3"/>
  <c r="L36" i="3"/>
  <c r="K36" i="3"/>
  <c r="J36" i="3"/>
  <c r="G36" i="3"/>
  <c r="F36" i="3"/>
  <c r="E36" i="3"/>
  <c r="D36" i="3"/>
  <c r="A36" i="3"/>
  <c r="U35" i="3"/>
  <c r="T35" i="3"/>
  <c r="Q35" i="3"/>
  <c r="P35" i="3"/>
  <c r="N35" i="3"/>
  <c r="M35" i="3"/>
  <c r="L35" i="3"/>
  <c r="K35" i="3"/>
  <c r="J35" i="3"/>
  <c r="H35" i="3"/>
  <c r="G35" i="3"/>
  <c r="F35" i="3"/>
  <c r="E35" i="3"/>
  <c r="D35" i="3"/>
  <c r="A35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H34" i="3"/>
  <c r="G34" i="3"/>
  <c r="F34" i="3"/>
  <c r="E34" i="3"/>
  <c r="D34" i="3"/>
  <c r="A34" i="3"/>
  <c r="U33" i="3"/>
  <c r="T33" i="3"/>
  <c r="S33" i="3"/>
  <c r="O33" i="3"/>
  <c r="N33" i="3"/>
  <c r="M33" i="3"/>
  <c r="L33" i="3"/>
  <c r="K33" i="3"/>
  <c r="J33" i="3"/>
  <c r="H33" i="3"/>
  <c r="G33" i="3"/>
  <c r="F33" i="3"/>
  <c r="E33" i="3"/>
  <c r="D33" i="3"/>
  <c r="A33" i="3"/>
  <c r="U32" i="3"/>
  <c r="T32" i="3"/>
  <c r="S32" i="3"/>
  <c r="N32" i="3"/>
  <c r="M32" i="3"/>
  <c r="K32" i="3"/>
  <c r="J32" i="3"/>
  <c r="H32" i="3"/>
  <c r="G32" i="3"/>
  <c r="F32" i="3"/>
  <c r="E32" i="3"/>
  <c r="D32" i="3"/>
  <c r="A32" i="3"/>
  <c r="U31" i="3"/>
  <c r="T31" i="3"/>
  <c r="S31" i="3"/>
  <c r="R31" i="3"/>
  <c r="N31" i="3"/>
  <c r="M31" i="3"/>
  <c r="L31" i="3"/>
  <c r="K31" i="3"/>
  <c r="J31" i="3"/>
  <c r="F31" i="3"/>
  <c r="E31" i="3"/>
  <c r="D31" i="3"/>
  <c r="A31" i="3"/>
  <c r="V30" i="3"/>
  <c r="U30" i="3"/>
  <c r="T30" i="3"/>
  <c r="S30" i="3"/>
  <c r="R30" i="3"/>
  <c r="O30" i="3"/>
  <c r="N30" i="3"/>
  <c r="M30" i="3"/>
  <c r="L30" i="3"/>
  <c r="K30" i="3"/>
  <c r="J30" i="3"/>
  <c r="H30" i="3"/>
  <c r="F30" i="3"/>
  <c r="E30" i="3"/>
  <c r="D30" i="3"/>
  <c r="A30" i="3"/>
  <c r="U29" i="3"/>
  <c r="T29" i="3"/>
  <c r="N29" i="3"/>
  <c r="M29" i="3"/>
  <c r="L29" i="3"/>
  <c r="K29" i="3"/>
  <c r="J29" i="3"/>
  <c r="H29" i="3"/>
  <c r="F29" i="3"/>
  <c r="E29" i="3"/>
  <c r="D29" i="3"/>
  <c r="A29" i="3"/>
  <c r="U28" i="3"/>
  <c r="T28" i="3"/>
  <c r="S28" i="3"/>
  <c r="N28" i="3"/>
  <c r="M28" i="3"/>
  <c r="L28" i="3"/>
  <c r="K28" i="3"/>
  <c r="J28" i="3"/>
  <c r="H28" i="3"/>
  <c r="F28" i="3"/>
  <c r="E28" i="3"/>
  <c r="D28" i="3"/>
  <c r="A28" i="3"/>
  <c r="U27" i="3"/>
  <c r="T27" i="3"/>
  <c r="N27" i="3"/>
  <c r="L27" i="3"/>
  <c r="K27" i="3"/>
  <c r="J27" i="3"/>
  <c r="F27" i="3"/>
  <c r="E27" i="3"/>
  <c r="D27" i="3"/>
  <c r="A27" i="3"/>
  <c r="V26" i="3"/>
  <c r="U26" i="3"/>
  <c r="T26" i="3"/>
  <c r="R26" i="3"/>
  <c r="Q26" i="3"/>
  <c r="O26" i="3"/>
  <c r="N26" i="3"/>
  <c r="L26" i="3"/>
  <c r="K26" i="3"/>
  <c r="J26" i="3"/>
  <c r="F26" i="3"/>
  <c r="E26" i="3"/>
  <c r="D26" i="3"/>
  <c r="A26" i="3"/>
  <c r="V25" i="3"/>
  <c r="U25" i="3"/>
  <c r="T25" i="3"/>
  <c r="R25" i="3"/>
  <c r="Q25" i="3"/>
  <c r="P25" i="3"/>
  <c r="O25" i="3"/>
  <c r="N25" i="3"/>
  <c r="M25" i="3"/>
  <c r="L25" i="3"/>
  <c r="K25" i="3"/>
  <c r="J25" i="3"/>
  <c r="F25" i="3"/>
  <c r="E25" i="3"/>
  <c r="D25" i="3"/>
  <c r="A25" i="3"/>
  <c r="V24" i="3"/>
  <c r="U24" i="3"/>
  <c r="T24" i="3"/>
  <c r="P24" i="3"/>
  <c r="O24" i="3"/>
  <c r="N24" i="3"/>
  <c r="L24" i="3"/>
  <c r="K24" i="3"/>
  <c r="J24" i="3"/>
  <c r="F24" i="3"/>
  <c r="E24" i="3"/>
  <c r="D24" i="3"/>
  <c r="A24" i="3"/>
  <c r="V23" i="3"/>
  <c r="U23" i="3"/>
  <c r="T23" i="3"/>
  <c r="P23" i="3"/>
  <c r="O23" i="3"/>
  <c r="N23" i="3"/>
  <c r="L23" i="3"/>
  <c r="K23" i="3"/>
  <c r="J23" i="3"/>
  <c r="I23" i="3"/>
  <c r="H23" i="3"/>
  <c r="G23" i="3"/>
  <c r="F23" i="3"/>
  <c r="E23" i="3"/>
  <c r="D23" i="3"/>
  <c r="A23" i="3"/>
  <c r="V22" i="3"/>
  <c r="U22" i="3"/>
  <c r="T22" i="3"/>
  <c r="O22" i="3"/>
  <c r="N22" i="3"/>
  <c r="L22" i="3"/>
  <c r="K22" i="3"/>
  <c r="J22" i="3"/>
  <c r="I22" i="3"/>
  <c r="H22" i="3"/>
  <c r="G22" i="3"/>
  <c r="F22" i="3"/>
  <c r="E22" i="3"/>
  <c r="D22" i="3"/>
  <c r="A22" i="3"/>
  <c r="V21" i="3"/>
  <c r="U21" i="3"/>
  <c r="T21" i="3"/>
  <c r="O21" i="3"/>
  <c r="N21" i="3"/>
  <c r="M21" i="3"/>
  <c r="L21" i="3"/>
  <c r="K21" i="3"/>
  <c r="J21" i="3"/>
  <c r="I21" i="3"/>
  <c r="H21" i="3"/>
  <c r="G21" i="3"/>
  <c r="F21" i="3"/>
  <c r="E21" i="3"/>
  <c r="D21" i="3"/>
  <c r="A21" i="3"/>
  <c r="V20" i="3"/>
  <c r="U20" i="3"/>
  <c r="T20" i="3"/>
  <c r="S20" i="3"/>
  <c r="O20" i="3"/>
  <c r="N20" i="3"/>
  <c r="L20" i="3"/>
  <c r="K20" i="3"/>
  <c r="J20" i="3"/>
  <c r="I20" i="3"/>
  <c r="H20" i="3"/>
  <c r="G20" i="3"/>
  <c r="F20" i="3"/>
  <c r="E20" i="3"/>
  <c r="D20" i="3"/>
  <c r="A20" i="3"/>
  <c r="V19" i="3"/>
  <c r="U19" i="3"/>
  <c r="T19" i="3"/>
  <c r="S19" i="3"/>
  <c r="O19" i="3"/>
  <c r="N19" i="3"/>
  <c r="L19" i="3"/>
  <c r="K19" i="3"/>
  <c r="J19" i="3"/>
  <c r="I19" i="3"/>
  <c r="H19" i="3"/>
  <c r="G19" i="3"/>
  <c r="F19" i="3"/>
  <c r="E19" i="3"/>
  <c r="D19" i="3"/>
  <c r="A19" i="3"/>
  <c r="V18" i="3"/>
  <c r="U18" i="3"/>
  <c r="T18" i="3"/>
  <c r="S18" i="3"/>
  <c r="O18" i="3"/>
  <c r="N18" i="3"/>
  <c r="M18" i="3"/>
  <c r="L18" i="3"/>
  <c r="K18" i="3"/>
  <c r="J18" i="3"/>
  <c r="I18" i="3"/>
  <c r="G18" i="3"/>
  <c r="F18" i="3"/>
  <c r="E18" i="3"/>
  <c r="D18" i="3"/>
  <c r="A18" i="3"/>
  <c r="V17" i="3"/>
  <c r="U17" i="3"/>
  <c r="T17" i="3"/>
  <c r="S17" i="3"/>
  <c r="O17" i="3"/>
  <c r="N17" i="3"/>
  <c r="M17" i="3"/>
  <c r="L17" i="3"/>
  <c r="K17" i="3"/>
  <c r="J17" i="3"/>
  <c r="I17" i="3"/>
  <c r="H17" i="3"/>
  <c r="G17" i="3"/>
  <c r="F17" i="3"/>
  <c r="E17" i="3"/>
  <c r="D17" i="3"/>
  <c r="A17" i="3"/>
  <c r="V16" i="3"/>
  <c r="U16" i="3"/>
  <c r="T16" i="3"/>
  <c r="S16" i="3"/>
  <c r="R16" i="3"/>
  <c r="Q16" i="3"/>
  <c r="O16" i="3"/>
  <c r="N16" i="3"/>
  <c r="M16" i="3"/>
  <c r="L16" i="3"/>
  <c r="K16" i="3"/>
  <c r="J16" i="3"/>
  <c r="I16" i="3"/>
  <c r="F16" i="3"/>
  <c r="E16" i="3"/>
  <c r="D16" i="3"/>
  <c r="A16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A15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G14" i="3"/>
  <c r="F14" i="3"/>
  <c r="E14" i="3"/>
  <c r="D14" i="3"/>
  <c r="A14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F13" i="3"/>
  <c r="E13" i="3"/>
  <c r="D13" i="3"/>
  <c r="A13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A12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A11" i="3"/>
  <c r="V10" i="3"/>
  <c r="U10" i="3"/>
  <c r="T10" i="3"/>
  <c r="S10" i="3"/>
  <c r="R10" i="3"/>
  <c r="Q10" i="3"/>
  <c r="P10" i="3"/>
  <c r="O10" i="3"/>
  <c r="N10" i="3"/>
  <c r="M10" i="3"/>
  <c r="L10" i="3"/>
  <c r="K10" i="3"/>
  <c r="I10" i="3"/>
  <c r="F10" i="3"/>
  <c r="E10" i="3"/>
  <c r="D10" i="3"/>
  <c r="A10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A9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A8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A7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A6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G5" i="3"/>
  <c r="F5" i="3"/>
  <c r="E5" i="3"/>
  <c r="D5" i="3"/>
  <c r="A5" i="3"/>
  <c r="V4" i="3"/>
  <c r="U4" i="3"/>
  <c r="T4" i="3"/>
  <c r="S4" i="3"/>
  <c r="R4" i="3"/>
  <c r="Q4" i="3"/>
  <c r="P4" i="3"/>
  <c r="O4" i="3"/>
  <c r="N4" i="3"/>
  <c r="M4" i="3"/>
  <c r="L4" i="3"/>
  <c r="K4" i="3"/>
  <c r="I4" i="3"/>
  <c r="F4" i="3"/>
  <c r="E4" i="3"/>
  <c r="D4" i="3"/>
  <c r="B4" i="3"/>
  <c r="A4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B3" i="3"/>
  <c r="A3" i="3"/>
  <c r="A2" i="3"/>
  <c r="A1" i="3"/>
  <c r="V29" i="2"/>
  <c r="B7" i="2"/>
  <c r="B7" i="3" s="1"/>
  <c r="C6" i="2"/>
  <c r="C6" i="3" s="1"/>
  <c r="B6" i="2"/>
  <c r="B6" i="3" s="1"/>
  <c r="C5" i="2"/>
  <c r="C5" i="3" s="1"/>
  <c r="B5" i="2"/>
  <c r="B5" i="3" s="1"/>
  <c r="C4" i="2"/>
  <c r="C4" i="3" s="1"/>
  <c r="T2" i="3"/>
  <c r="R32" i="3"/>
  <c r="Q24" i="3"/>
  <c r="P45" i="3"/>
  <c r="N2" i="3"/>
  <c r="M26" i="3"/>
  <c r="L2" i="3"/>
  <c r="I38" i="3"/>
  <c r="H27" i="3"/>
  <c r="D2" i="3"/>
  <c r="R1" i="3"/>
  <c r="Q1" i="3"/>
  <c r="P1" i="3"/>
  <c r="N1" i="3"/>
  <c r="H1" i="3"/>
  <c r="F1" i="3"/>
  <c r="E1" i="3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Q33" i="3" l="1"/>
  <c r="Q23" i="3"/>
  <c r="V2" i="3"/>
  <c r="L46" i="3"/>
  <c r="L45" i="3"/>
  <c r="Q43" i="3"/>
  <c r="O36" i="3"/>
  <c r="Q53" i="3"/>
  <c r="O29" i="3"/>
  <c r="P43" i="3"/>
  <c r="H18" i="3"/>
  <c r="V29" i="3"/>
  <c r="O35" i="3"/>
  <c r="O39" i="3"/>
  <c r="R23" i="3"/>
  <c r="P33" i="3"/>
  <c r="S21" i="3"/>
  <c r="S27" i="3"/>
  <c r="S29" i="3"/>
  <c r="S35" i="3"/>
  <c r="S25" i="3"/>
  <c r="S24" i="3"/>
  <c r="S36" i="3"/>
  <c r="S26" i="3"/>
  <c r="S22" i="3"/>
  <c r="S43" i="3"/>
  <c r="S23" i="3"/>
  <c r="S2" i="3"/>
  <c r="R24" i="3"/>
  <c r="I27" i="3"/>
  <c r="R33" i="3"/>
  <c r="I37" i="3"/>
  <c r="F53" i="3"/>
  <c r="F51" i="3"/>
  <c r="F52" i="3"/>
  <c r="F2" i="3"/>
  <c r="V39" i="3"/>
  <c r="V27" i="3"/>
  <c r="V28" i="3"/>
  <c r="V36" i="3"/>
  <c r="V35" i="3"/>
  <c r="V33" i="3"/>
  <c r="M24" i="3"/>
  <c r="M20" i="3"/>
  <c r="M23" i="3"/>
  <c r="M22" i="3"/>
  <c r="M2" i="3"/>
  <c r="M27" i="3"/>
  <c r="M19" i="3"/>
  <c r="V40" i="3"/>
  <c r="I46" i="3"/>
  <c r="I36" i="3"/>
  <c r="I26" i="3"/>
  <c r="I2" i="3"/>
  <c r="I35" i="3"/>
  <c r="I25" i="3"/>
  <c r="I33" i="3"/>
  <c r="I32" i="3"/>
  <c r="I34" i="3"/>
  <c r="I24" i="3"/>
  <c r="I30" i="3"/>
  <c r="I49" i="3"/>
  <c r="I29" i="3"/>
  <c r="I31" i="3"/>
  <c r="G27" i="3"/>
  <c r="G24" i="3"/>
  <c r="G26" i="3"/>
  <c r="G16" i="3"/>
  <c r="G4" i="3"/>
  <c r="G13" i="3"/>
  <c r="G25" i="3"/>
  <c r="G31" i="3"/>
  <c r="G50" i="3"/>
  <c r="G30" i="3"/>
  <c r="G10" i="3"/>
  <c r="G2" i="3"/>
  <c r="G48" i="3"/>
  <c r="I28" i="3"/>
  <c r="R21" i="3"/>
  <c r="R39" i="3"/>
  <c r="R29" i="3"/>
  <c r="R19" i="3"/>
  <c r="R40" i="3"/>
  <c r="R20" i="3"/>
  <c r="R38" i="3"/>
  <c r="R28" i="3"/>
  <c r="R18" i="3"/>
  <c r="R27" i="3"/>
  <c r="R17" i="3"/>
  <c r="R35" i="3"/>
  <c r="R36" i="3"/>
  <c r="R22" i="3"/>
  <c r="V32" i="3"/>
  <c r="F49" i="3"/>
  <c r="F50" i="3"/>
  <c r="T40" i="3"/>
  <c r="T46" i="3"/>
  <c r="T44" i="3"/>
  <c r="T45" i="3"/>
  <c r="H14" i="3"/>
  <c r="H46" i="3"/>
  <c r="H36" i="3"/>
  <c r="H26" i="3"/>
  <c r="H16" i="3"/>
  <c r="H24" i="3"/>
  <c r="H4" i="3"/>
  <c r="H25" i="3"/>
  <c r="H5" i="3"/>
  <c r="H13" i="3"/>
  <c r="H2" i="3"/>
  <c r="H10" i="3"/>
  <c r="H31" i="3"/>
  <c r="U49" i="3"/>
  <c r="U48" i="3"/>
  <c r="U47" i="3"/>
  <c r="U44" i="3"/>
  <c r="U43" i="3"/>
  <c r="G28" i="3"/>
  <c r="I48" i="3"/>
  <c r="J4" i="3"/>
  <c r="J2" i="3"/>
  <c r="J10" i="3"/>
  <c r="P40" i="3"/>
  <c r="P20" i="3"/>
  <c r="P42" i="3"/>
  <c r="P32" i="3"/>
  <c r="P22" i="3"/>
  <c r="P2" i="3"/>
  <c r="P30" i="3"/>
  <c r="P41" i="3"/>
  <c r="P31" i="3"/>
  <c r="P21" i="3"/>
  <c r="P39" i="3"/>
  <c r="P29" i="3"/>
  <c r="P19" i="3"/>
  <c r="P48" i="3"/>
  <c r="P38" i="3"/>
  <c r="P28" i="3"/>
  <c r="P18" i="3"/>
  <c r="P46" i="3"/>
  <c r="P26" i="3"/>
  <c r="P16" i="3"/>
  <c r="P47" i="3"/>
  <c r="P37" i="3"/>
  <c r="P27" i="3"/>
  <c r="P17" i="3"/>
  <c r="Q52" i="3"/>
  <c r="Q42" i="3"/>
  <c r="Q32" i="3"/>
  <c r="Q22" i="3"/>
  <c r="Q2" i="3"/>
  <c r="Q39" i="3"/>
  <c r="Q29" i="3"/>
  <c r="Q38" i="3"/>
  <c r="Q51" i="3"/>
  <c r="Q31" i="3"/>
  <c r="Q21" i="3"/>
  <c r="Q19" i="3"/>
  <c r="Q48" i="3"/>
  <c r="Q28" i="3"/>
  <c r="Q18" i="3"/>
  <c r="Q40" i="3"/>
  <c r="Q30" i="3"/>
  <c r="Q20" i="3"/>
  <c r="Q46" i="3"/>
  <c r="Q45" i="3"/>
  <c r="Q47" i="3"/>
  <c r="Q27" i="3"/>
  <c r="Q17" i="3"/>
  <c r="R2" i="3"/>
  <c r="G29" i="3"/>
  <c r="G49" i="3"/>
  <c r="L39" i="3"/>
  <c r="O28" i="3"/>
  <c r="O38" i="3"/>
  <c r="O27" i="3"/>
  <c r="L40" i="3"/>
  <c r="C7" i="2"/>
  <c r="C7" i="3" s="1"/>
  <c r="O31" i="3"/>
  <c r="B8" i="2"/>
  <c r="L43" i="3"/>
  <c r="L53" i="3"/>
  <c r="O2" i="3"/>
  <c r="O32" i="3"/>
  <c r="L32" i="3"/>
  <c r="L44" i="3"/>
  <c r="B9" i="2" l="1"/>
  <c r="C8" i="2"/>
  <c r="C8" i="3" s="1"/>
  <c r="B8" i="3"/>
  <c r="C9" i="2" l="1"/>
  <c r="C9" i="3" s="1"/>
  <c r="B9" i="3"/>
  <c r="B10" i="2"/>
  <c r="B10" i="3" l="1"/>
  <c r="B11" i="2"/>
  <c r="C10" i="2"/>
  <c r="C10" i="3" s="1"/>
  <c r="B12" i="2" l="1"/>
  <c r="C11" i="2"/>
  <c r="C11" i="3" s="1"/>
  <c r="B11" i="3"/>
  <c r="B13" i="2" l="1"/>
  <c r="C12" i="2"/>
  <c r="C12" i="3" s="1"/>
  <c r="B12" i="3"/>
  <c r="C13" i="2" l="1"/>
  <c r="C13" i="3" s="1"/>
  <c r="B13" i="3"/>
  <c r="B14" i="2"/>
  <c r="B15" i="2" l="1"/>
  <c r="C14" i="2"/>
  <c r="C14" i="3" s="1"/>
  <c r="B14" i="3"/>
  <c r="C15" i="2" l="1"/>
  <c r="C15" i="3" s="1"/>
  <c r="B16" i="2"/>
  <c r="B15" i="3"/>
  <c r="B17" i="2" l="1"/>
  <c r="C16" i="2"/>
  <c r="C16" i="3" s="1"/>
  <c r="B16" i="3"/>
  <c r="B17" i="3" l="1"/>
  <c r="B18" i="2"/>
  <c r="C17" i="2"/>
  <c r="C17" i="3" s="1"/>
  <c r="B19" i="2" l="1"/>
  <c r="C18" i="2"/>
  <c r="C18" i="3" s="1"/>
  <c r="B18" i="3"/>
  <c r="C19" i="2" l="1"/>
  <c r="C19" i="3" s="1"/>
  <c r="B19" i="3"/>
  <c r="B20" i="2"/>
  <c r="C20" i="2" l="1"/>
  <c r="C20" i="3" s="1"/>
  <c r="B20" i="3"/>
  <c r="B21" i="2"/>
  <c r="C21" i="2" l="1"/>
  <c r="C21" i="3" s="1"/>
  <c r="B21" i="3"/>
  <c r="B22" i="2"/>
  <c r="B23" i="2" l="1"/>
  <c r="B22" i="3"/>
  <c r="C22" i="2"/>
  <c r="C22" i="3" s="1"/>
  <c r="C23" i="2" l="1"/>
  <c r="C23" i="3" s="1"/>
  <c r="B23" i="3"/>
  <c r="B24" i="2"/>
  <c r="B25" i="2" l="1"/>
  <c r="C24" i="2"/>
  <c r="C24" i="3" s="1"/>
  <c r="B24" i="3"/>
  <c r="C25" i="2" l="1"/>
  <c r="C25" i="3" s="1"/>
  <c r="B26" i="2"/>
  <c r="B25" i="3"/>
  <c r="B27" i="2" l="1"/>
  <c r="C26" i="2"/>
  <c r="C26" i="3" s="1"/>
  <c r="B26" i="3"/>
  <c r="B27" i="3" l="1"/>
  <c r="B28" i="2"/>
  <c r="C27" i="2"/>
  <c r="C27" i="3" s="1"/>
  <c r="B29" i="2" l="1"/>
  <c r="C28" i="2"/>
  <c r="C28" i="3" s="1"/>
  <c r="B28" i="3"/>
  <c r="C29" i="2" l="1"/>
  <c r="C29" i="3" s="1"/>
  <c r="B29" i="3"/>
  <c r="B30" i="2"/>
  <c r="B31" i="2" l="1"/>
  <c r="B30" i="3"/>
  <c r="C30" i="2"/>
  <c r="C30" i="3" s="1"/>
  <c r="B32" i="2" l="1"/>
  <c r="C31" i="2"/>
  <c r="C31" i="3" s="1"/>
  <c r="B31" i="3"/>
  <c r="B33" i="2" l="1"/>
  <c r="C32" i="2"/>
  <c r="C32" i="3" s="1"/>
  <c r="B32" i="3"/>
  <c r="B33" i="3" l="1"/>
  <c r="B34" i="2"/>
  <c r="C33" i="2"/>
  <c r="C33" i="3" s="1"/>
  <c r="B35" i="2" l="1"/>
  <c r="C34" i="2"/>
  <c r="C34" i="3" s="1"/>
  <c r="B34" i="3"/>
  <c r="B36" i="2" l="1"/>
  <c r="C35" i="2"/>
  <c r="C35" i="3" s="1"/>
  <c r="B35" i="3"/>
  <c r="C36" i="2" l="1"/>
  <c r="C36" i="3" s="1"/>
  <c r="B37" i="2"/>
  <c r="B36" i="3"/>
  <c r="B37" i="3" l="1"/>
  <c r="B38" i="2"/>
  <c r="C37" i="2"/>
  <c r="C37" i="3" s="1"/>
  <c r="B39" i="2" l="1"/>
  <c r="C38" i="2"/>
  <c r="C38" i="3" s="1"/>
  <c r="B38" i="3"/>
  <c r="B39" i="3" l="1"/>
  <c r="B40" i="2"/>
  <c r="C39" i="2"/>
  <c r="C39" i="3" s="1"/>
  <c r="B40" i="3" l="1"/>
  <c r="C40" i="2"/>
  <c r="C40" i="3" s="1"/>
  <c r="B41" i="2"/>
  <c r="B42" i="2" l="1"/>
  <c r="B41" i="3"/>
  <c r="C41" i="2"/>
  <c r="C41" i="3" s="1"/>
  <c r="B43" i="2" l="1"/>
  <c r="C42" i="2"/>
  <c r="C42" i="3" s="1"/>
  <c r="B42" i="3"/>
  <c r="B43" i="3" l="1"/>
  <c r="B44" i="2"/>
  <c r="C43" i="2"/>
  <c r="C43" i="3" s="1"/>
  <c r="B45" i="2" l="1"/>
  <c r="C44" i="2"/>
  <c r="C44" i="3" s="1"/>
  <c r="B44" i="3"/>
  <c r="B46" i="2" l="1"/>
  <c r="C45" i="2"/>
  <c r="C45" i="3" s="1"/>
  <c r="B45" i="3"/>
  <c r="C46" i="2" l="1"/>
  <c r="C46" i="3" s="1"/>
  <c r="B47" i="2"/>
  <c r="B46" i="3"/>
  <c r="B48" i="2" l="1"/>
  <c r="B47" i="3"/>
  <c r="C47" i="2"/>
  <c r="C47" i="3" s="1"/>
  <c r="B49" i="2" l="1"/>
  <c r="C48" i="2"/>
  <c r="C48" i="3" s="1"/>
  <c r="B48" i="3"/>
  <c r="B49" i="3" l="1"/>
  <c r="C49" i="2"/>
  <c r="C49" i="3" s="1"/>
  <c r="B50" i="2"/>
  <c r="B51" i="2" l="1"/>
  <c r="C50" i="2"/>
  <c r="C50" i="3" s="1"/>
  <c r="B50" i="3"/>
  <c r="B52" i="2" l="1"/>
  <c r="B51" i="3"/>
  <c r="C51" i="2"/>
  <c r="C51" i="3" s="1"/>
  <c r="B53" i="2" l="1"/>
  <c r="C52" i="2"/>
  <c r="C52" i="3" s="1"/>
  <c r="B52" i="3"/>
  <c r="B53" i="3" l="1"/>
  <c r="B54" i="2"/>
  <c r="C53" i="2"/>
  <c r="C53" i="3" s="1"/>
  <c r="B55" i="2" l="1"/>
  <c r="C54" i="2"/>
  <c r="C54" i="3" s="1"/>
  <c r="B54" i="3"/>
  <c r="B56" i="2" l="1"/>
  <c r="C55" i="2"/>
  <c r="C55" i="3" s="1"/>
  <c r="B55" i="3"/>
  <c r="C56" i="2" l="1"/>
  <c r="C56" i="3" s="1"/>
  <c r="B57" i="2"/>
  <c r="B56" i="3"/>
  <c r="B58" i="2" l="1"/>
  <c r="B57" i="3"/>
  <c r="C57" i="2"/>
  <c r="C57" i="3" s="1"/>
  <c r="B59" i="2" l="1"/>
  <c r="C58" i="2"/>
  <c r="C58" i="3" s="1"/>
  <c r="B58" i="3"/>
  <c r="B59" i="3" l="1"/>
  <c r="B60" i="2"/>
  <c r="C59" i="2"/>
  <c r="C59" i="3" s="1"/>
  <c r="C60" i="2" l="1"/>
  <c r="C60" i="3" s="1"/>
  <c r="B60" i="3"/>
  <c r="B61" i="2"/>
  <c r="B61" i="3" l="1"/>
  <c r="C61" i="2"/>
  <c r="C61" i="3" s="1"/>
  <c r="B62" i="2"/>
  <c r="B63" i="2" l="1"/>
  <c r="C62" i="2"/>
  <c r="C62" i="3" s="1"/>
  <c r="B62" i="3"/>
  <c r="B63" i="3" l="1"/>
  <c r="B64" i="2"/>
  <c r="C63" i="2"/>
  <c r="C63" i="3" s="1"/>
  <c r="B65" i="2" l="1"/>
  <c r="C64" i="2"/>
  <c r="C64" i="3" s="1"/>
  <c r="B64" i="3"/>
  <c r="B66" i="2" l="1"/>
  <c r="C65" i="2"/>
  <c r="C65" i="3" s="1"/>
  <c r="B65" i="3"/>
  <c r="C66" i="2" l="1"/>
  <c r="C66" i="3" s="1"/>
  <c r="B67" i="2"/>
  <c r="B66" i="3"/>
  <c r="B67" i="3" l="1"/>
  <c r="B68" i="2"/>
  <c r="C67" i="2"/>
  <c r="C67" i="3" s="1"/>
  <c r="B69" i="2" l="1"/>
  <c r="C68" i="2"/>
  <c r="C68" i="3" s="1"/>
  <c r="B68" i="3"/>
  <c r="B69" i="3" l="1"/>
  <c r="C69" i="2"/>
  <c r="C69" i="3" s="1"/>
  <c r="B70" i="2"/>
  <c r="B71" i="2" l="1"/>
  <c r="C70" i="2"/>
  <c r="C70" i="3" s="1"/>
  <c r="B70" i="3"/>
  <c r="B71" i="3" l="1"/>
  <c r="C71" i="2"/>
  <c r="C71" i="3" s="1"/>
</calcChain>
</file>

<file path=xl/sharedStrings.xml><?xml version="1.0" encoding="utf-8"?>
<sst xmlns="http://schemas.openxmlformats.org/spreadsheetml/2006/main" count="107" uniqueCount="52">
  <si>
    <t>Name</t>
  </si>
  <si>
    <t>Position</t>
  </si>
  <si>
    <t>labor$/day</t>
  </si>
  <si>
    <t>Alexander H</t>
  </si>
  <si>
    <t>Manager/senior Engineer</t>
  </si>
  <si>
    <t>position</t>
  </si>
  <si>
    <t>labor $/day</t>
  </si>
  <si>
    <t>Amanda S</t>
  </si>
  <si>
    <t>Remote senior</t>
  </si>
  <si>
    <t>Technician I</t>
  </si>
  <si>
    <t>Andy R</t>
  </si>
  <si>
    <t>Engineer/supervisor</t>
  </si>
  <si>
    <t>Technician II</t>
  </si>
  <si>
    <t>Angie G</t>
  </si>
  <si>
    <t>Welder</t>
  </si>
  <si>
    <t>Ashton F</t>
  </si>
  <si>
    <t>Brian K</t>
  </si>
  <si>
    <t>Brian M</t>
  </si>
  <si>
    <t>Remote mid engineer</t>
  </si>
  <si>
    <t>Brian V</t>
  </si>
  <si>
    <t>Carol W</t>
  </si>
  <si>
    <t>Chris H</t>
  </si>
  <si>
    <t>Christopher M</t>
  </si>
  <si>
    <t>Cole M</t>
  </si>
  <si>
    <t>Eric C</t>
  </si>
  <si>
    <t>Frank A</t>
  </si>
  <si>
    <t>Gordon D</t>
  </si>
  <si>
    <t>Greg S</t>
  </si>
  <si>
    <t>Howard H</t>
  </si>
  <si>
    <t>Iain C</t>
  </si>
  <si>
    <t>Jason C</t>
  </si>
  <si>
    <t>Joe F</t>
  </si>
  <si>
    <t>Jonathan R</t>
  </si>
  <si>
    <t>Levi W</t>
  </si>
  <si>
    <t>Luis Z</t>
  </si>
  <si>
    <t>Luke G</t>
  </si>
  <si>
    <t>Michael H</t>
  </si>
  <si>
    <t>Mike C</t>
  </si>
  <si>
    <t xml:space="preserve">Tony M </t>
  </si>
  <si>
    <t>Alsa G</t>
  </si>
  <si>
    <t>Ryan O</t>
  </si>
  <si>
    <t>Sepehr G</t>
  </si>
  <si>
    <t>Shane M</t>
  </si>
  <si>
    <t>Vace V</t>
  </si>
  <si>
    <t>Vu T</t>
  </si>
  <si>
    <t>Wyatt S</t>
  </si>
  <si>
    <t>VACATION</t>
  </si>
  <si>
    <t>END DATE</t>
  </si>
  <si>
    <t>Salary $/day</t>
  </si>
  <si>
    <t>Week #</t>
  </si>
  <si>
    <t>Start Date</t>
  </si>
  <si>
    <t>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</si>
</sst>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&quot;$&quot;#,##0"/>
    <numFmt numFmtId="166" formatCode="mm/dd/yy"/>
  </numFmts>
  <fonts count="4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rial"/>
    </font>
    <font>
      <b/>
      <sz val="11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1" xfId="0" applyFont="1" applyBorder="1" applyAlignment="1">
      <alignment wrapText="1"/>
    </xf>
    <xf numFmtId="165" fontId="1" fillId="0" borderId="1" xfId="0" applyNumberFormat="1" applyFont="1" applyBorder="1"/>
    <xf numFmtId="0" fontId="2" fillId="0" borderId="0" xfId="0" applyFont="1"/>
    <xf numFmtId="165" fontId="1" fillId="0" borderId="2" xfId="0" applyNumberFormat="1" applyFont="1" applyBorder="1"/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16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workbookViewId="0">
      <selection activeCell="F6" sqref="F6"/>
    </sheetView>
  </sheetViews>
  <sheetFormatPr defaultColWidth="12.62890625" defaultRowHeight="15" customHeight="1" x14ac:dyDescent="0.55000000000000004"/>
  <cols>
    <col min="1" max="1" width="15.47265625" customWidth="1"/>
    <col min="2" max="2" width="26.3671875" customWidth="1"/>
    <col min="3" max="3" width="12.47265625" customWidth="1"/>
    <col min="4" max="4" width="20.3671875" customWidth="1"/>
    <col min="5" max="5" width="8.62890625" customWidth="1"/>
    <col min="6" max="6" width="18.1015625" customWidth="1"/>
    <col min="7" max="26" width="8.62890625" customWidth="1"/>
  </cols>
  <sheetData>
    <row r="1" spans="1:5" ht="14.25" customHeight="1" x14ac:dyDescent="0.55000000000000004">
      <c r="A1" s="1" t="s">
        <v>0</v>
      </c>
      <c r="B1" s="1" t="s">
        <v>1</v>
      </c>
      <c r="C1" s="1" t="s">
        <v>2</v>
      </c>
    </row>
    <row r="2" spans="1:5" ht="14.25" customHeight="1" x14ac:dyDescent="0.55000000000000004">
      <c r="A2" s="1" t="s">
        <v>3</v>
      </c>
      <c r="B2" s="1" t="s">
        <v>4</v>
      </c>
      <c r="C2" s="2">
        <f t="shared" ref="C2:C35" si="0">VLOOKUP(B2, $D$3:$E$9, 2, FALSE)</f>
        <v>671</v>
      </c>
      <c r="D2" s="1" t="s">
        <v>5</v>
      </c>
      <c r="E2" s="1" t="s">
        <v>6</v>
      </c>
    </row>
    <row r="3" spans="1:5" ht="18" customHeight="1" x14ac:dyDescent="0.55000000000000004">
      <c r="A3" s="1" t="s">
        <v>7</v>
      </c>
      <c r="B3" s="1" t="s">
        <v>8</v>
      </c>
      <c r="C3" s="2">
        <f t="shared" si="0"/>
        <v>671</v>
      </c>
      <c r="D3" s="3" t="s">
        <v>9</v>
      </c>
      <c r="E3" s="4">
        <v>295</v>
      </c>
    </row>
    <row r="4" spans="1:5" ht="18" customHeight="1" x14ac:dyDescent="0.55000000000000004">
      <c r="A4" s="1" t="s">
        <v>10</v>
      </c>
      <c r="B4" s="1" t="s">
        <v>11</v>
      </c>
      <c r="C4" s="2">
        <f t="shared" si="0"/>
        <v>536</v>
      </c>
      <c r="D4" s="3" t="s">
        <v>12</v>
      </c>
      <c r="E4" s="4">
        <v>456</v>
      </c>
    </row>
    <row r="5" spans="1:5" ht="18" customHeight="1" x14ac:dyDescent="0.55000000000000004">
      <c r="A5" s="1" t="s">
        <v>13</v>
      </c>
      <c r="B5" s="1" t="s">
        <v>12</v>
      </c>
      <c r="C5" s="2">
        <f t="shared" si="0"/>
        <v>456</v>
      </c>
      <c r="D5" s="3" t="s">
        <v>14</v>
      </c>
      <c r="E5" s="4">
        <v>469</v>
      </c>
    </row>
    <row r="6" spans="1:5" ht="18" customHeight="1" x14ac:dyDescent="0.55000000000000004">
      <c r="A6" s="1" t="s">
        <v>15</v>
      </c>
      <c r="B6" s="5" t="s">
        <v>12</v>
      </c>
      <c r="C6" s="2">
        <f t="shared" si="0"/>
        <v>456</v>
      </c>
      <c r="D6" s="3" t="s">
        <v>11</v>
      </c>
      <c r="E6" s="4">
        <v>536</v>
      </c>
    </row>
    <row r="7" spans="1:5" ht="18" customHeight="1" x14ac:dyDescent="0.55000000000000004">
      <c r="A7" s="1" t="s">
        <v>16</v>
      </c>
      <c r="B7" s="1" t="s">
        <v>4</v>
      </c>
      <c r="C7" s="2">
        <f t="shared" si="0"/>
        <v>671</v>
      </c>
      <c r="D7" s="3" t="s">
        <v>4</v>
      </c>
      <c r="E7" s="6">
        <v>671</v>
      </c>
    </row>
    <row r="8" spans="1:5" ht="18" customHeight="1" x14ac:dyDescent="0.55000000000000004">
      <c r="A8" s="1" t="s">
        <v>17</v>
      </c>
      <c r="B8" s="1" t="s">
        <v>11</v>
      </c>
      <c r="C8" s="2">
        <f t="shared" si="0"/>
        <v>536</v>
      </c>
      <c r="D8" s="3" t="s">
        <v>18</v>
      </c>
      <c r="E8" s="4">
        <v>536</v>
      </c>
    </row>
    <row r="9" spans="1:5" ht="18" customHeight="1" x14ac:dyDescent="0.55000000000000004">
      <c r="A9" s="1" t="s">
        <v>19</v>
      </c>
      <c r="B9" s="1" t="s">
        <v>12</v>
      </c>
      <c r="C9" s="2">
        <f t="shared" si="0"/>
        <v>456</v>
      </c>
      <c r="D9" s="3" t="s">
        <v>8</v>
      </c>
      <c r="E9" s="6">
        <v>671</v>
      </c>
    </row>
    <row r="10" spans="1:5" ht="14.25" customHeight="1" x14ac:dyDescent="0.55000000000000004">
      <c r="A10" s="1" t="s">
        <v>20</v>
      </c>
      <c r="B10" s="1" t="s">
        <v>8</v>
      </c>
      <c r="C10" s="2">
        <f t="shared" si="0"/>
        <v>671</v>
      </c>
    </row>
    <row r="11" spans="1:5" ht="14.25" customHeight="1" x14ac:dyDescent="0.55000000000000004">
      <c r="A11" s="1" t="s">
        <v>21</v>
      </c>
      <c r="B11" s="1" t="s">
        <v>11</v>
      </c>
      <c r="C11" s="2">
        <f t="shared" si="0"/>
        <v>536</v>
      </c>
    </row>
    <row r="12" spans="1:5" ht="14.25" customHeight="1" x14ac:dyDescent="0.55000000000000004">
      <c r="A12" s="1" t="s">
        <v>22</v>
      </c>
      <c r="B12" s="1" t="s">
        <v>12</v>
      </c>
      <c r="C12" s="2">
        <f t="shared" si="0"/>
        <v>456</v>
      </c>
    </row>
    <row r="13" spans="1:5" ht="14.25" customHeight="1" x14ac:dyDescent="0.55000000000000004">
      <c r="A13" s="1" t="s">
        <v>23</v>
      </c>
      <c r="B13" s="1" t="s">
        <v>12</v>
      </c>
      <c r="C13" s="2">
        <f t="shared" si="0"/>
        <v>456</v>
      </c>
    </row>
    <row r="14" spans="1:5" ht="14.25" customHeight="1" x14ac:dyDescent="0.55000000000000004">
      <c r="A14" s="1" t="s">
        <v>24</v>
      </c>
      <c r="B14" s="1" t="s">
        <v>18</v>
      </c>
      <c r="C14" s="2">
        <f t="shared" si="0"/>
        <v>536</v>
      </c>
    </row>
    <row r="15" spans="1:5" ht="14.25" customHeight="1" x14ac:dyDescent="0.55000000000000004">
      <c r="A15" s="5" t="s">
        <v>25</v>
      </c>
      <c r="B15" s="5" t="s">
        <v>12</v>
      </c>
      <c r="C15" s="2">
        <f t="shared" si="0"/>
        <v>456</v>
      </c>
    </row>
    <row r="16" spans="1:5" ht="14.25" customHeight="1" x14ac:dyDescent="0.55000000000000004">
      <c r="A16" s="1" t="s">
        <v>26</v>
      </c>
      <c r="B16" s="5" t="s">
        <v>8</v>
      </c>
      <c r="C16" s="2">
        <f t="shared" si="0"/>
        <v>671</v>
      </c>
    </row>
    <row r="17" spans="1:3" ht="14.25" customHeight="1" x14ac:dyDescent="0.55000000000000004">
      <c r="A17" s="1" t="s">
        <v>27</v>
      </c>
      <c r="B17" s="1" t="s">
        <v>12</v>
      </c>
      <c r="C17" s="2">
        <f t="shared" si="0"/>
        <v>456</v>
      </c>
    </row>
    <row r="18" spans="1:3" ht="14.25" customHeight="1" x14ac:dyDescent="0.55000000000000004">
      <c r="A18" s="1" t="s">
        <v>28</v>
      </c>
      <c r="B18" s="1" t="s">
        <v>12</v>
      </c>
      <c r="C18" s="2">
        <f t="shared" si="0"/>
        <v>456</v>
      </c>
    </row>
    <row r="19" spans="1:3" ht="14.25" customHeight="1" x14ac:dyDescent="0.55000000000000004">
      <c r="A19" s="1" t="s">
        <v>29</v>
      </c>
      <c r="B19" s="1" t="s">
        <v>8</v>
      </c>
      <c r="C19" s="2">
        <f t="shared" si="0"/>
        <v>671</v>
      </c>
    </row>
    <row r="20" spans="1:3" ht="14.25" customHeight="1" x14ac:dyDescent="0.55000000000000004">
      <c r="A20" s="1" t="s">
        <v>30</v>
      </c>
      <c r="B20" s="1" t="s">
        <v>8</v>
      </c>
      <c r="C20" s="2">
        <f t="shared" si="0"/>
        <v>671</v>
      </c>
    </row>
    <row r="21" spans="1:3" ht="14.25" customHeight="1" x14ac:dyDescent="0.55000000000000004">
      <c r="A21" s="1" t="s">
        <v>31</v>
      </c>
      <c r="B21" s="1" t="s">
        <v>12</v>
      </c>
      <c r="C21" s="2">
        <f t="shared" si="0"/>
        <v>456</v>
      </c>
    </row>
    <row r="22" spans="1:3" ht="14.25" customHeight="1" x14ac:dyDescent="0.55000000000000004">
      <c r="A22" s="1" t="s">
        <v>32</v>
      </c>
      <c r="B22" s="1" t="s">
        <v>4</v>
      </c>
      <c r="C22" s="2">
        <f t="shared" si="0"/>
        <v>671</v>
      </c>
    </row>
    <row r="23" spans="1:3" ht="14.25" customHeight="1" x14ac:dyDescent="0.55000000000000004">
      <c r="A23" s="1" t="s">
        <v>33</v>
      </c>
      <c r="B23" s="1" t="s">
        <v>14</v>
      </c>
      <c r="C23" s="2">
        <f t="shared" si="0"/>
        <v>469</v>
      </c>
    </row>
    <row r="24" spans="1:3" ht="14.25" customHeight="1" x14ac:dyDescent="0.55000000000000004">
      <c r="A24" s="1" t="s">
        <v>34</v>
      </c>
      <c r="B24" s="1" t="s">
        <v>18</v>
      </c>
      <c r="C24" s="2">
        <f t="shared" si="0"/>
        <v>536</v>
      </c>
    </row>
    <row r="25" spans="1:3" ht="14.25" customHeight="1" x14ac:dyDescent="0.55000000000000004">
      <c r="A25" s="1" t="s">
        <v>35</v>
      </c>
      <c r="B25" s="1" t="s">
        <v>14</v>
      </c>
      <c r="C25" s="2">
        <f t="shared" si="0"/>
        <v>469</v>
      </c>
    </row>
    <row r="26" spans="1:3" ht="14.25" customHeight="1" x14ac:dyDescent="0.55000000000000004">
      <c r="A26" s="1" t="s">
        <v>36</v>
      </c>
      <c r="B26" s="1" t="s">
        <v>12</v>
      </c>
      <c r="C26" s="2">
        <f t="shared" si="0"/>
        <v>456</v>
      </c>
    </row>
    <row r="27" spans="1:3" ht="14.25" customHeight="1" x14ac:dyDescent="0.55000000000000004">
      <c r="A27" s="1" t="s">
        <v>37</v>
      </c>
      <c r="B27" s="1" t="s">
        <v>12</v>
      </c>
      <c r="C27" s="2">
        <f t="shared" si="0"/>
        <v>456</v>
      </c>
    </row>
    <row r="28" spans="1:3" ht="14.25" customHeight="1" x14ac:dyDescent="0.55000000000000004">
      <c r="A28" s="7" t="s">
        <v>38</v>
      </c>
      <c r="B28" s="1" t="s">
        <v>11</v>
      </c>
      <c r="C28" s="2">
        <f t="shared" si="0"/>
        <v>536</v>
      </c>
    </row>
    <row r="29" spans="1:3" ht="14.25" customHeight="1" x14ac:dyDescent="0.55000000000000004">
      <c r="A29" s="1" t="s">
        <v>39</v>
      </c>
      <c r="B29" s="1" t="s">
        <v>18</v>
      </c>
      <c r="C29" s="2">
        <f t="shared" si="0"/>
        <v>536</v>
      </c>
    </row>
    <row r="30" spans="1:3" ht="14.25" customHeight="1" x14ac:dyDescent="0.55000000000000004">
      <c r="A30" s="1" t="s">
        <v>40</v>
      </c>
      <c r="B30" s="1" t="s">
        <v>14</v>
      </c>
      <c r="C30" s="2">
        <f t="shared" si="0"/>
        <v>469</v>
      </c>
    </row>
    <row r="31" spans="1:3" ht="14.25" customHeight="1" x14ac:dyDescent="0.55000000000000004">
      <c r="A31" s="1" t="s">
        <v>41</v>
      </c>
      <c r="B31" s="1" t="s">
        <v>8</v>
      </c>
      <c r="C31" s="2">
        <f t="shared" si="0"/>
        <v>671</v>
      </c>
    </row>
    <row r="32" spans="1:3" ht="14.25" customHeight="1" x14ac:dyDescent="0.55000000000000004">
      <c r="A32" s="1" t="s">
        <v>42</v>
      </c>
      <c r="B32" s="1" t="s">
        <v>12</v>
      </c>
      <c r="C32" s="2">
        <f t="shared" si="0"/>
        <v>456</v>
      </c>
    </row>
    <row r="33" spans="1:3" ht="14.25" customHeight="1" x14ac:dyDescent="0.55000000000000004">
      <c r="A33" s="1" t="s">
        <v>43</v>
      </c>
      <c r="B33" s="1" t="s">
        <v>12</v>
      </c>
      <c r="C33" s="2">
        <f t="shared" si="0"/>
        <v>456</v>
      </c>
    </row>
    <row r="34" spans="1:3" ht="14.25" customHeight="1" x14ac:dyDescent="0.55000000000000004">
      <c r="A34" s="1" t="s">
        <v>44</v>
      </c>
      <c r="B34" s="1" t="s">
        <v>11</v>
      </c>
      <c r="C34" s="2">
        <f t="shared" si="0"/>
        <v>536</v>
      </c>
    </row>
    <row r="35" spans="1:3" ht="14.25" customHeight="1" x14ac:dyDescent="0.55000000000000004">
      <c r="A35" s="1" t="s">
        <v>45</v>
      </c>
      <c r="B35" s="1" t="s">
        <v>14</v>
      </c>
      <c r="C35" s="2">
        <f t="shared" si="0"/>
        <v>469</v>
      </c>
    </row>
    <row r="36" spans="1:3" ht="14.25" customHeight="1" x14ac:dyDescent="0.55000000000000004"/>
    <row r="37" spans="1:3" ht="14.25" customHeight="1" x14ac:dyDescent="0.55000000000000004"/>
    <row r="38" spans="1:3" ht="14.25" customHeight="1" x14ac:dyDescent="0.55000000000000004"/>
    <row r="39" spans="1:3" ht="14.25" customHeight="1" x14ac:dyDescent="0.55000000000000004"/>
    <row r="40" spans="1:3" ht="14.25" customHeight="1" x14ac:dyDescent="0.55000000000000004"/>
    <row r="41" spans="1:3" ht="14.25" customHeight="1" x14ac:dyDescent="0.55000000000000004"/>
    <row r="42" spans="1:3" ht="14.25" customHeight="1" x14ac:dyDescent="0.55000000000000004"/>
    <row r="43" spans="1:3" ht="14.25" customHeight="1" x14ac:dyDescent="0.55000000000000004"/>
    <row r="44" spans="1:3" ht="14.25" customHeight="1" x14ac:dyDescent="0.55000000000000004"/>
    <row r="45" spans="1:3" ht="14.25" customHeight="1" x14ac:dyDescent="0.55000000000000004"/>
    <row r="46" spans="1:3" ht="14.25" customHeight="1" x14ac:dyDescent="0.55000000000000004"/>
    <row r="47" spans="1:3" ht="14.25" customHeight="1" x14ac:dyDescent="0.55000000000000004"/>
    <row r="48" spans="1:3" ht="14.25" customHeight="1" x14ac:dyDescent="0.55000000000000004"/>
    <row r="49" ht="14.25" customHeight="1" x14ac:dyDescent="0.55000000000000004"/>
    <row r="50" ht="14.25" customHeight="1" x14ac:dyDescent="0.55000000000000004"/>
    <row r="51" ht="14.25" customHeight="1" x14ac:dyDescent="0.55000000000000004"/>
    <row r="52" ht="14.25" customHeight="1" x14ac:dyDescent="0.55000000000000004"/>
    <row r="53" ht="14.25" customHeight="1" x14ac:dyDescent="0.55000000000000004"/>
    <row r="54" ht="14.25" customHeight="1" x14ac:dyDescent="0.55000000000000004"/>
    <row r="55" ht="14.25" customHeight="1" x14ac:dyDescent="0.55000000000000004"/>
    <row r="56" ht="14.25" customHeight="1" x14ac:dyDescent="0.55000000000000004"/>
    <row r="57" ht="14.25" customHeight="1" x14ac:dyDescent="0.55000000000000004"/>
    <row r="58" ht="14.25" customHeight="1" x14ac:dyDescent="0.55000000000000004"/>
    <row r="59" ht="14.25" customHeight="1" x14ac:dyDescent="0.55000000000000004"/>
    <row r="60" ht="14.25" customHeight="1" x14ac:dyDescent="0.55000000000000004"/>
    <row r="61" ht="14.25" customHeight="1" x14ac:dyDescent="0.55000000000000004"/>
    <row r="62" ht="14.25" customHeight="1" x14ac:dyDescent="0.55000000000000004"/>
    <row r="63" ht="14.25" customHeight="1" x14ac:dyDescent="0.55000000000000004"/>
    <row r="64" ht="14.25" customHeight="1" x14ac:dyDescent="0.55000000000000004"/>
    <row r="65" ht="14.25" customHeight="1" x14ac:dyDescent="0.55000000000000004"/>
    <row r="66" ht="14.25" customHeight="1" x14ac:dyDescent="0.55000000000000004"/>
    <row r="67" ht="14.25" customHeight="1" x14ac:dyDescent="0.55000000000000004"/>
    <row r="68" ht="14.25" customHeight="1" x14ac:dyDescent="0.55000000000000004"/>
    <row r="69" ht="14.25" customHeight="1" x14ac:dyDescent="0.55000000000000004"/>
    <row r="70" ht="14.25" customHeight="1" x14ac:dyDescent="0.55000000000000004"/>
    <row r="71" ht="14.25" customHeight="1" x14ac:dyDescent="0.55000000000000004"/>
    <row r="72" ht="14.25" customHeight="1" x14ac:dyDescent="0.55000000000000004"/>
    <row r="73" ht="14.25" customHeight="1" x14ac:dyDescent="0.55000000000000004"/>
    <row r="74" ht="14.25" customHeight="1" x14ac:dyDescent="0.55000000000000004"/>
    <row r="75" ht="14.25" customHeight="1" x14ac:dyDescent="0.55000000000000004"/>
    <row r="76" ht="14.25" customHeight="1" x14ac:dyDescent="0.55000000000000004"/>
    <row r="77" ht="14.25" customHeight="1" x14ac:dyDescent="0.55000000000000004"/>
    <row r="78" ht="14.25" customHeight="1" x14ac:dyDescent="0.55000000000000004"/>
    <row r="79" ht="14.25" customHeight="1" x14ac:dyDescent="0.55000000000000004"/>
    <row r="80" ht="14.25" customHeight="1" x14ac:dyDescent="0.55000000000000004"/>
    <row r="81" ht="14.25" customHeight="1" x14ac:dyDescent="0.55000000000000004"/>
    <row r="82" ht="14.25" customHeight="1" x14ac:dyDescent="0.55000000000000004"/>
    <row r="83" ht="14.25" customHeight="1" x14ac:dyDescent="0.55000000000000004"/>
    <row r="84" ht="14.25" customHeight="1" x14ac:dyDescent="0.55000000000000004"/>
    <row r="85" ht="14.25" customHeight="1" x14ac:dyDescent="0.55000000000000004"/>
    <row r="86" ht="14.25" customHeight="1" x14ac:dyDescent="0.55000000000000004"/>
    <row r="87" ht="14.25" customHeight="1" x14ac:dyDescent="0.55000000000000004"/>
    <row r="88" ht="14.25" customHeight="1" x14ac:dyDescent="0.55000000000000004"/>
    <row r="89" ht="14.25" customHeight="1" x14ac:dyDescent="0.55000000000000004"/>
    <row r="90" ht="14.25" customHeight="1" x14ac:dyDescent="0.55000000000000004"/>
    <row r="91" ht="14.25" customHeight="1" x14ac:dyDescent="0.55000000000000004"/>
    <row r="92" ht="14.25" customHeight="1" x14ac:dyDescent="0.55000000000000004"/>
    <row r="93" ht="14.25" customHeight="1" x14ac:dyDescent="0.55000000000000004"/>
    <row r="94" ht="14.25" customHeight="1" x14ac:dyDescent="0.55000000000000004"/>
    <row r="95" ht="14.25" customHeight="1" x14ac:dyDescent="0.55000000000000004"/>
    <row r="96" ht="14.25" customHeight="1" x14ac:dyDescent="0.55000000000000004"/>
    <row r="97" ht="14.25" customHeight="1" x14ac:dyDescent="0.55000000000000004"/>
    <row r="98" ht="14.25" customHeight="1" x14ac:dyDescent="0.55000000000000004"/>
    <row r="99" ht="14.25" customHeight="1" x14ac:dyDescent="0.55000000000000004"/>
    <row r="100" ht="14.25" customHeight="1" x14ac:dyDescent="0.55000000000000004"/>
    <row r="101" ht="14.25" customHeight="1" x14ac:dyDescent="0.55000000000000004"/>
    <row r="102" ht="14.25" customHeight="1" x14ac:dyDescent="0.55000000000000004"/>
    <row r="103" ht="14.25" customHeight="1" x14ac:dyDescent="0.55000000000000004"/>
    <row r="104" ht="14.25" customHeight="1" x14ac:dyDescent="0.55000000000000004"/>
    <row r="105" ht="14.25" customHeight="1" x14ac:dyDescent="0.55000000000000004"/>
    <row r="106" ht="14.25" customHeight="1" x14ac:dyDescent="0.55000000000000004"/>
    <row r="107" ht="14.25" customHeight="1" x14ac:dyDescent="0.55000000000000004"/>
    <row r="108" ht="14.25" customHeight="1" x14ac:dyDescent="0.55000000000000004"/>
    <row r="109" ht="14.25" customHeight="1" x14ac:dyDescent="0.55000000000000004"/>
    <row r="110" ht="14.25" customHeight="1" x14ac:dyDescent="0.55000000000000004"/>
    <row r="111" ht="14.25" customHeight="1" x14ac:dyDescent="0.55000000000000004"/>
    <row r="112" ht="14.25" customHeight="1" x14ac:dyDescent="0.55000000000000004"/>
    <row r="113" ht="14.25" customHeight="1" x14ac:dyDescent="0.55000000000000004"/>
    <row r="114" ht="14.25" customHeight="1" x14ac:dyDescent="0.55000000000000004"/>
    <row r="115" ht="14.25" customHeight="1" x14ac:dyDescent="0.55000000000000004"/>
    <row r="116" ht="14.25" customHeight="1" x14ac:dyDescent="0.55000000000000004"/>
    <row r="117" ht="14.25" customHeight="1" x14ac:dyDescent="0.55000000000000004"/>
    <row r="118" ht="14.25" customHeight="1" x14ac:dyDescent="0.55000000000000004"/>
    <row r="119" ht="14.25" customHeight="1" x14ac:dyDescent="0.55000000000000004"/>
    <row r="120" ht="14.25" customHeight="1" x14ac:dyDescent="0.55000000000000004"/>
    <row r="121" ht="14.25" customHeight="1" x14ac:dyDescent="0.55000000000000004"/>
    <row r="122" ht="14.25" customHeight="1" x14ac:dyDescent="0.55000000000000004"/>
    <row r="123" ht="14.25" customHeight="1" x14ac:dyDescent="0.55000000000000004"/>
    <row r="124" ht="14.25" customHeight="1" x14ac:dyDescent="0.55000000000000004"/>
    <row r="125" ht="14.25" customHeight="1" x14ac:dyDescent="0.55000000000000004"/>
    <row r="126" ht="14.25" customHeight="1" x14ac:dyDescent="0.55000000000000004"/>
    <row r="127" ht="14.25" customHeight="1" x14ac:dyDescent="0.55000000000000004"/>
    <row r="128" ht="14.25" customHeight="1" x14ac:dyDescent="0.55000000000000004"/>
    <row r="129" ht="14.25" customHeight="1" x14ac:dyDescent="0.55000000000000004"/>
    <row r="130" ht="14.25" customHeight="1" x14ac:dyDescent="0.55000000000000004"/>
    <row r="131" ht="14.25" customHeight="1" x14ac:dyDescent="0.55000000000000004"/>
    <row r="132" ht="14.25" customHeight="1" x14ac:dyDescent="0.55000000000000004"/>
    <row r="133" ht="14.25" customHeight="1" x14ac:dyDescent="0.55000000000000004"/>
    <row r="134" ht="14.25" customHeight="1" x14ac:dyDescent="0.55000000000000004"/>
    <row r="135" ht="14.25" customHeight="1" x14ac:dyDescent="0.55000000000000004"/>
    <row r="136" ht="14.25" customHeight="1" x14ac:dyDescent="0.55000000000000004"/>
    <row r="137" ht="14.25" customHeight="1" x14ac:dyDescent="0.55000000000000004"/>
    <row r="138" ht="14.25" customHeight="1" x14ac:dyDescent="0.55000000000000004"/>
    <row r="139" ht="14.25" customHeight="1" x14ac:dyDescent="0.55000000000000004"/>
    <row r="140" ht="14.25" customHeight="1" x14ac:dyDescent="0.55000000000000004"/>
    <row r="141" ht="14.25" customHeight="1" x14ac:dyDescent="0.55000000000000004"/>
    <row r="142" ht="14.25" customHeight="1" x14ac:dyDescent="0.55000000000000004"/>
    <row r="143" ht="14.25" customHeight="1" x14ac:dyDescent="0.55000000000000004"/>
    <row r="144" ht="14.25" customHeight="1" x14ac:dyDescent="0.55000000000000004"/>
    <row r="145" ht="14.25" customHeight="1" x14ac:dyDescent="0.55000000000000004"/>
    <row r="146" ht="14.25" customHeight="1" x14ac:dyDescent="0.55000000000000004"/>
    <row r="147" ht="14.25" customHeight="1" x14ac:dyDescent="0.55000000000000004"/>
    <row r="148" ht="14.25" customHeight="1" x14ac:dyDescent="0.55000000000000004"/>
    <row r="149" ht="14.25" customHeight="1" x14ac:dyDescent="0.55000000000000004"/>
    <row r="150" ht="14.25" customHeight="1" x14ac:dyDescent="0.55000000000000004"/>
    <row r="151" ht="14.25" customHeight="1" x14ac:dyDescent="0.55000000000000004"/>
    <row r="152" ht="14.25" customHeight="1" x14ac:dyDescent="0.55000000000000004"/>
    <row r="153" ht="14.25" customHeight="1" x14ac:dyDescent="0.55000000000000004"/>
    <row r="154" ht="14.25" customHeight="1" x14ac:dyDescent="0.55000000000000004"/>
    <row r="155" ht="14.25" customHeight="1" x14ac:dyDescent="0.55000000000000004"/>
    <row r="156" ht="14.25" customHeight="1" x14ac:dyDescent="0.55000000000000004"/>
    <row r="157" ht="14.25" customHeight="1" x14ac:dyDescent="0.55000000000000004"/>
    <row r="158" ht="14.25" customHeight="1" x14ac:dyDescent="0.55000000000000004"/>
    <row r="159" ht="14.25" customHeight="1" x14ac:dyDescent="0.55000000000000004"/>
    <row r="160" ht="14.25" customHeight="1" x14ac:dyDescent="0.55000000000000004"/>
    <row r="161" ht="14.25" customHeight="1" x14ac:dyDescent="0.55000000000000004"/>
    <row r="162" ht="14.25" customHeight="1" x14ac:dyDescent="0.55000000000000004"/>
    <row r="163" ht="14.25" customHeight="1" x14ac:dyDescent="0.55000000000000004"/>
    <row r="164" ht="14.25" customHeight="1" x14ac:dyDescent="0.55000000000000004"/>
    <row r="165" ht="14.25" customHeight="1" x14ac:dyDescent="0.55000000000000004"/>
    <row r="166" ht="14.25" customHeight="1" x14ac:dyDescent="0.55000000000000004"/>
    <row r="167" ht="14.25" customHeight="1" x14ac:dyDescent="0.55000000000000004"/>
    <row r="168" ht="14.25" customHeight="1" x14ac:dyDescent="0.55000000000000004"/>
    <row r="169" ht="14.25" customHeight="1" x14ac:dyDescent="0.55000000000000004"/>
    <row r="170" ht="14.25" customHeight="1" x14ac:dyDescent="0.55000000000000004"/>
    <row r="171" ht="14.25" customHeight="1" x14ac:dyDescent="0.55000000000000004"/>
    <row r="172" ht="14.25" customHeight="1" x14ac:dyDescent="0.55000000000000004"/>
    <row r="173" ht="14.25" customHeight="1" x14ac:dyDescent="0.55000000000000004"/>
    <row r="174" ht="14.25" customHeight="1" x14ac:dyDescent="0.55000000000000004"/>
    <row r="175" ht="14.25" customHeight="1" x14ac:dyDescent="0.55000000000000004"/>
    <row r="176" ht="14.25" customHeight="1" x14ac:dyDescent="0.55000000000000004"/>
    <row r="177" ht="14.25" customHeight="1" x14ac:dyDescent="0.55000000000000004"/>
    <row r="178" ht="14.25" customHeight="1" x14ac:dyDescent="0.55000000000000004"/>
    <row r="179" ht="14.25" customHeight="1" x14ac:dyDescent="0.55000000000000004"/>
    <row r="180" ht="14.25" customHeight="1" x14ac:dyDescent="0.55000000000000004"/>
    <row r="181" ht="14.25" customHeight="1" x14ac:dyDescent="0.55000000000000004"/>
    <row r="182" ht="14.25" customHeight="1" x14ac:dyDescent="0.55000000000000004"/>
    <row r="183" ht="14.25" customHeight="1" x14ac:dyDescent="0.55000000000000004"/>
    <row r="184" ht="14.25" customHeight="1" x14ac:dyDescent="0.55000000000000004"/>
    <row r="185" ht="14.25" customHeight="1" x14ac:dyDescent="0.55000000000000004"/>
    <row r="186" ht="14.25" customHeight="1" x14ac:dyDescent="0.55000000000000004"/>
    <row r="187" ht="14.25" customHeight="1" x14ac:dyDescent="0.55000000000000004"/>
    <row r="188" ht="14.25" customHeight="1" x14ac:dyDescent="0.55000000000000004"/>
    <row r="189" ht="14.25" customHeight="1" x14ac:dyDescent="0.55000000000000004"/>
    <row r="190" ht="14.25" customHeight="1" x14ac:dyDescent="0.55000000000000004"/>
    <row r="191" ht="14.25" customHeight="1" x14ac:dyDescent="0.55000000000000004"/>
    <row r="192" ht="14.25" customHeight="1" x14ac:dyDescent="0.55000000000000004"/>
    <row r="193" ht="14.25" customHeight="1" x14ac:dyDescent="0.55000000000000004"/>
    <row r="194" ht="14.25" customHeight="1" x14ac:dyDescent="0.55000000000000004"/>
    <row r="195" ht="14.25" customHeight="1" x14ac:dyDescent="0.55000000000000004"/>
    <row r="196" ht="14.25" customHeight="1" x14ac:dyDescent="0.55000000000000004"/>
    <row r="197" ht="14.25" customHeight="1" x14ac:dyDescent="0.55000000000000004"/>
    <row r="198" ht="14.25" customHeight="1" x14ac:dyDescent="0.55000000000000004"/>
    <row r="199" ht="14.25" customHeight="1" x14ac:dyDescent="0.55000000000000004"/>
    <row r="200" ht="14.25" customHeight="1" x14ac:dyDescent="0.55000000000000004"/>
    <row r="201" ht="14.25" customHeight="1" x14ac:dyDescent="0.55000000000000004"/>
    <row r="202" ht="14.25" customHeight="1" x14ac:dyDescent="0.55000000000000004"/>
    <row r="203" ht="14.25" customHeight="1" x14ac:dyDescent="0.55000000000000004"/>
    <row r="204" ht="14.25" customHeight="1" x14ac:dyDescent="0.55000000000000004"/>
    <row r="205" ht="14.25" customHeight="1" x14ac:dyDescent="0.55000000000000004"/>
    <row r="206" ht="14.25" customHeight="1" x14ac:dyDescent="0.55000000000000004"/>
    <row r="207" ht="14.25" customHeight="1" x14ac:dyDescent="0.55000000000000004"/>
    <row r="208" ht="14.25" customHeight="1" x14ac:dyDescent="0.55000000000000004"/>
    <row r="209" ht="14.25" customHeight="1" x14ac:dyDescent="0.55000000000000004"/>
    <row r="210" ht="14.25" customHeight="1" x14ac:dyDescent="0.55000000000000004"/>
    <row r="211" ht="14.25" customHeight="1" x14ac:dyDescent="0.55000000000000004"/>
    <row r="212" ht="14.25" customHeight="1" x14ac:dyDescent="0.55000000000000004"/>
    <row r="213" ht="14.25" customHeight="1" x14ac:dyDescent="0.55000000000000004"/>
    <row r="214" ht="14.25" customHeight="1" x14ac:dyDescent="0.55000000000000004"/>
    <row r="215" ht="14.25" customHeight="1" x14ac:dyDescent="0.55000000000000004"/>
    <row r="216" ht="14.25" customHeight="1" x14ac:dyDescent="0.55000000000000004"/>
    <row r="217" ht="14.25" customHeight="1" x14ac:dyDescent="0.55000000000000004"/>
    <row r="218" ht="14.25" customHeight="1" x14ac:dyDescent="0.55000000000000004"/>
    <row r="219" ht="14.25" customHeight="1" x14ac:dyDescent="0.55000000000000004"/>
    <row r="220" ht="14.25" customHeight="1" x14ac:dyDescent="0.55000000000000004"/>
    <row r="221" ht="14.25" customHeight="1" x14ac:dyDescent="0.55000000000000004"/>
    <row r="222" ht="14.25" customHeight="1" x14ac:dyDescent="0.55000000000000004"/>
    <row r="223" ht="14.25" customHeight="1" x14ac:dyDescent="0.55000000000000004"/>
    <row r="224" ht="14.25" customHeight="1" x14ac:dyDescent="0.55000000000000004"/>
    <row r="225" ht="14.25" customHeight="1" x14ac:dyDescent="0.55000000000000004"/>
    <row r="226" ht="14.25" customHeight="1" x14ac:dyDescent="0.55000000000000004"/>
    <row r="227" ht="14.25" customHeight="1" x14ac:dyDescent="0.55000000000000004"/>
    <row r="228" ht="14.25" customHeight="1" x14ac:dyDescent="0.55000000000000004"/>
    <row r="229" ht="14.25" customHeight="1" x14ac:dyDescent="0.55000000000000004"/>
    <row r="230" ht="14.25" customHeight="1" x14ac:dyDescent="0.55000000000000004"/>
    <row r="231" ht="14.25" customHeight="1" x14ac:dyDescent="0.55000000000000004"/>
    <row r="232" ht="14.25" customHeight="1" x14ac:dyDescent="0.55000000000000004"/>
    <row r="233" ht="14.25" customHeight="1" x14ac:dyDescent="0.55000000000000004"/>
    <row r="234" ht="14.25" customHeight="1" x14ac:dyDescent="0.55000000000000004"/>
    <row r="235" ht="14.25" customHeight="1" x14ac:dyDescent="0.55000000000000004"/>
    <row r="236" ht="14.25" customHeight="1" x14ac:dyDescent="0.55000000000000004"/>
    <row r="237" ht="14.25" customHeight="1" x14ac:dyDescent="0.55000000000000004"/>
    <row r="238" ht="14.25" customHeight="1" x14ac:dyDescent="0.55000000000000004"/>
    <row r="239" ht="14.25" customHeight="1" x14ac:dyDescent="0.55000000000000004"/>
    <row r="240" ht="14.25" customHeight="1" x14ac:dyDescent="0.55000000000000004"/>
    <row r="241" ht="14.25" customHeight="1" x14ac:dyDescent="0.55000000000000004"/>
    <row r="242" ht="14.25" customHeight="1" x14ac:dyDescent="0.55000000000000004"/>
    <row r="243" ht="14.25" customHeight="1" x14ac:dyDescent="0.55000000000000004"/>
    <row r="244" ht="14.25" customHeight="1" x14ac:dyDescent="0.55000000000000004"/>
    <row r="245" ht="14.25" customHeight="1" x14ac:dyDescent="0.55000000000000004"/>
    <row r="246" ht="14.25" customHeight="1" x14ac:dyDescent="0.55000000000000004"/>
    <row r="247" ht="14.25" customHeight="1" x14ac:dyDescent="0.55000000000000004"/>
    <row r="248" ht="14.25" customHeight="1" x14ac:dyDescent="0.55000000000000004"/>
    <row r="249" ht="14.25" customHeight="1" x14ac:dyDescent="0.55000000000000004"/>
    <row r="250" ht="14.25" customHeight="1" x14ac:dyDescent="0.55000000000000004"/>
    <row r="251" ht="14.25" customHeight="1" x14ac:dyDescent="0.55000000000000004"/>
    <row r="252" ht="14.25" customHeight="1" x14ac:dyDescent="0.55000000000000004"/>
    <row r="253" ht="14.25" customHeight="1" x14ac:dyDescent="0.55000000000000004"/>
    <row r="254" ht="14.25" customHeight="1" x14ac:dyDescent="0.55000000000000004"/>
    <row r="255" ht="14.25" customHeight="1" x14ac:dyDescent="0.55000000000000004"/>
    <row r="256" ht="14.25" customHeight="1" x14ac:dyDescent="0.55000000000000004"/>
    <row r="257" ht="14.25" customHeight="1" x14ac:dyDescent="0.55000000000000004"/>
    <row r="258" ht="14.25" customHeight="1" x14ac:dyDescent="0.55000000000000004"/>
    <row r="259" ht="14.25" customHeight="1" x14ac:dyDescent="0.55000000000000004"/>
    <row r="260" ht="14.25" customHeight="1" x14ac:dyDescent="0.55000000000000004"/>
    <row r="261" ht="14.25" customHeight="1" x14ac:dyDescent="0.55000000000000004"/>
    <row r="262" ht="14.25" customHeight="1" x14ac:dyDescent="0.55000000000000004"/>
    <row r="263" ht="14.25" customHeight="1" x14ac:dyDescent="0.55000000000000004"/>
    <row r="264" ht="14.25" customHeight="1" x14ac:dyDescent="0.55000000000000004"/>
    <row r="265" ht="14.25" customHeight="1" x14ac:dyDescent="0.55000000000000004"/>
    <row r="266" ht="14.25" customHeight="1" x14ac:dyDescent="0.55000000000000004"/>
    <row r="267" ht="14.25" customHeight="1" x14ac:dyDescent="0.55000000000000004"/>
    <row r="268" ht="14.25" customHeight="1" x14ac:dyDescent="0.55000000000000004"/>
    <row r="269" ht="14.25" customHeight="1" x14ac:dyDescent="0.55000000000000004"/>
    <row r="270" ht="14.25" customHeight="1" x14ac:dyDescent="0.55000000000000004"/>
    <row r="271" ht="14.25" customHeight="1" x14ac:dyDescent="0.55000000000000004"/>
    <row r="272" ht="14.25" customHeight="1" x14ac:dyDescent="0.55000000000000004"/>
    <row r="273" ht="14.25" customHeight="1" x14ac:dyDescent="0.55000000000000004"/>
    <row r="274" ht="14.25" customHeight="1" x14ac:dyDescent="0.55000000000000004"/>
    <row r="275" ht="14.25" customHeight="1" x14ac:dyDescent="0.55000000000000004"/>
    <row r="276" ht="14.25" customHeight="1" x14ac:dyDescent="0.55000000000000004"/>
    <row r="277" ht="14.25" customHeight="1" x14ac:dyDescent="0.55000000000000004"/>
    <row r="278" ht="14.25" customHeight="1" x14ac:dyDescent="0.55000000000000004"/>
    <row r="279" ht="14.25" customHeight="1" x14ac:dyDescent="0.55000000000000004"/>
    <row r="280" ht="14.25" customHeight="1" x14ac:dyDescent="0.55000000000000004"/>
    <row r="281" ht="14.25" customHeight="1" x14ac:dyDescent="0.55000000000000004"/>
    <row r="282" ht="14.25" customHeight="1" x14ac:dyDescent="0.55000000000000004"/>
    <row r="283" ht="14.25" customHeight="1" x14ac:dyDescent="0.55000000000000004"/>
    <row r="284" ht="14.25" customHeight="1" x14ac:dyDescent="0.55000000000000004"/>
    <row r="285" ht="14.25" customHeight="1" x14ac:dyDescent="0.55000000000000004"/>
    <row r="286" ht="14.25" customHeight="1" x14ac:dyDescent="0.55000000000000004"/>
    <row r="287" ht="14.25" customHeight="1" x14ac:dyDescent="0.55000000000000004"/>
    <row r="288" ht="14.25" customHeight="1" x14ac:dyDescent="0.55000000000000004"/>
    <row r="289" ht="14.25" customHeight="1" x14ac:dyDescent="0.55000000000000004"/>
    <row r="290" ht="14.25" customHeight="1" x14ac:dyDescent="0.55000000000000004"/>
    <row r="291" ht="14.25" customHeight="1" x14ac:dyDescent="0.55000000000000004"/>
    <row r="292" ht="14.25" customHeight="1" x14ac:dyDescent="0.55000000000000004"/>
    <row r="293" ht="14.25" customHeight="1" x14ac:dyDescent="0.55000000000000004"/>
    <row r="294" ht="14.25" customHeight="1" x14ac:dyDescent="0.55000000000000004"/>
    <row r="295" ht="14.25" customHeight="1" x14ac:dyDescent="0.55000000000000004"/>
    <row r="296" ht="14.25" customHeight="1" x14ac:dyDescent="0.55000000000000004"/>
    <row r="297" ht="14.25" customHeight="1" x14ac:dyDescent="0.55000000000000004"/>
    <row r="298" ht="14.25" customHeight="1" x14ac:dyDescent="0.55000000000000004"/>
    <row r="299" ht="14.25" customHeight="1" x14ac:dyDescent="0.55000000000000004"/>
    <row r="300" ht="14.25" customHeight="1" x14ac:dyDescent="0.55000000000000004"/>
    <row r="301" ht="14.25" customHeight="1" x14ac:dyDescent="0.55000000000000004"/>
    <row r="302" ht="14.25" customHeight="1" x14ac:dyDescent="0.55000000000000004"/>
    <row r="303" ht="14.25" customHeight="1" x14ac:dyDescent="0.55000000000000004"/>
    <row r="304" ht="14.25" customHeight="1" x14ac:dyDescent="0.55000000000000004"/>
    <row r="305" ht="14.25" customHeight="1" x14ac:dyDescent="0.55000000000000004"/>
    <row r="306" ht="14.25" customHeight="1" x14ac:dyDescent="0.55000000000000004"/>
    <row r="307" ht="14.25" customHeight="1" x14ac:dyDescent="0.55000000000000004"/>
    <row r="308" ht="14.25" customHeight="1" x14ac:dyDescent="0.55000000000000004"/>
    <row r="309" ht="14.25" customHeight="1" x14ac:dyDescent="0.55000000000000004"/>
    <row r="310" ht="14.25" customHeight="1" x14ac:dyDescent="0.55000000000000004"/>
    <row r="311" ht="14.25" customHeight="1" x14ac:dyDescent="0.55000000000000004"/>
    <row r="312" ht="14.25" customHeight="1" x14ac:dyDescent="0.55000000000000004"/>
    <row r="313" ht="14.25" customHeight="1" x14ac:dyDescent="0.55000000000000004"/>
    <row r="314" ht="14.25" customHeight="1" x14ac:dyDescent="0.55000000000000004"/>
    <row r="315" ht="14.25" customHeight="1" x14ac:dyDescent="0.55000000000000004"/>
    <row r="316" ht="14.25" customHeight="1" x14ac:dyDescent="0.55000000000000004"/>
    <row r="317" ht="14.25" customHeight="1" x14ac:dyDescent="0.55000000000000004"/>
    <row r="318" ht="14.25" customHeight="1" x14ac:dyDescent="0.55000000000000004"/>
    <row r="319" ht="14.25" customHeight="1" x14ac:dyDescent="0.55000000000000004"/>
    <row r="320" ht="14.25" customHeight="1" x14ac:dyDescent="0.55000000000000004"/>
    <row r="321" ht="14.25" customHeight="1" x14ac:dyDescent="0.55000000000000004"/>
    <row r="322" ht="14.25" customHeight="1" x14ac:dyDescent="0.55000000000000004"/>
    <row r="323" ht="14.25" customHeight="1" x14ac:dyDescent="0.55000000000000004"/>
    <row r="324" ht="14.25" customHeight="1" x14ac:dyDescent="0.55000000000000004"/>
    <row r="325" ht="14.25" customHeight="1" x14ac:dyDescent="0.55000000000000004"/>
    <row r="326" ht="14.25" customHeight="1" x14ac:dyDescent="0.55000000000000004"/>
    <row r="327" ht="14.25" customHeight="1" x14ac:dyDescent="0.55000000000000004"/>
    <row r="328" ht="14.25" customHeight="1" x14ac:dyDescent="0.55000000000000004"/>
    <row r="329" ht="14.25" customHeight="1" x14ac:dyDescent="0.55000000000000004"/>
    <row r="330" ht="14.25" customHeight="1" x14ac:dyDescent="0.55000000000000004"/>
    <row r="331" ht="14.25" customHeight="1" x14ac:dyDescent="0.55000000000000004"/>
    <row r="332" ht="14.25" customHeight="1" x14ac:dyDescent="0.55000000000000004"/>
    <row r="333" ht="14.25" customHeight="1" x14ac:dyDescent="0.55000000000000004"/>
    <row r="334" ht="14.25" customHeight="1" x14ac:dyDescent="0.55000000000000004"/>
    <row r="335" ht="14.25" customHeight="1" x14ac:dyDescent="0.55000000000000004"/>
    <row r="336" ht="14.25" customHeight="1" x14ac:dyDescent="0.55000000000000004"/>
    <row r="337" ht="14.25" customHeight="1" x14ac:dyDescent="0.55000000000000004"/>
    <row r="338" ht="14.25" customHeight="1" x14ac:dyDescent="0.55000000000000004"/>
    <row r="339" ht="14.25" customHeight="1" x14ac:dyDescent="0.55000000000000004"/>
    <row r="340" ht="14.25" customHeight="1" x14ac:dyDescent="0.55000000000000004"/>
    <row r="341" ht="14.25" customHeight="1" x14ac:dyDescent="0.55000000000000004"/>
    <row r="342" ht="14.25" customHeight="1" x14ac:dyDescent="0.55000000000000004"/>
    <row r="343" ht="14.25" customHeight="1" x14ac:dyDescent="0.55000000000000004"/>
    <row r="344" ht="14.25" customHeight="1" x14ac:dyDescent="0.55000000000000004"/>
    <row r="345" ht="14.25" customHeight="1" x14ac:dyDescent="0.55000000000000004"/>
    <row r="346" ht="14.25" customHeight="1" x14ac:dyDescent="0.55000000000000004"/>
    <row r="347" ht="14.25" customHeight="1" x14ac:dyDescent="0.55000000000000004"/>
    <row r="348" ht="14.25" customHeight="1" x14ac:dyDescent="0.55000000000000004"/>
    <row r="349" ht="14.25" customHeight="1" x14ac:dyDescent="0.55000000000000004"/>
    <row r="350" ht="14.25" customHeight="1" x14ac:dyDescent="0.55000000000000004"/>
    <row r="351" ht="14.25" customHeight="1" x14ac:dyDescent="0.55000000000000004"/>
    <row r="352" ht="14.25" customHeight="1" x14ac:dyDescent="0.55000000000000004"/>
    <row r="353" ht="14.25" customHeight="1" x14ac:dyDescent="0.55000000000000004"/>
    <row r="354" ht="14.25" customHeight="1" x14ac:dyDescent="0.55000000000000004"/>
    <row r="355" ht="14.25" customHeight="1" x14ac:dyDescent="0.55000000000000004"/>
    <row r="356" ht="14.25" customHeight="1" x14ac:dyDescent="0.55000000000000004"/>
    <row r="357" ht="14.25" customHeight="1" x14ac:dyDescent="0.55000000000000004"/>
    <row r="358" ht="14.25" customHeight="1" x14ac:dyDescent="0.55000000000000004"/>
    <row r="359" ht="14.25" customHeight="1" x14ac:dyDescent="0.55000000000000004"/>
    <row r="360" ht="14.25" customHeight="1" x14ac:dyDescent="0.55000000000000004"/>
    <row r="361" ht="14.25" customHeight="1" x14ac:dyDescent="0.55000000000000004"/>
    <row r="362" ht="14.25" customHeight="1" x14ac:dyDescent="0.55000000000000004"/>
    <row r="363" ht="14.25" customHeight="1" x14ac:dyDescent="0.55000000000000004"/>
    <row r="364" ht="14.25" customHeight="1" x14ac:dyDescent="0.55000000000000004"/>
    <row r="365" ht="14.25" customHeight="1" x14ac:dyDescent="0.55000000000000004"/>
    <row r="366" ht="14.25" customHeight="1" x14ac:dyDescent="0.55000000000000004"/>
    <row r="367" ht="14.25" customHeight="1" x14ac:dyDescent="0.55000000000000004"/>
    <row r="368" ht="14.25" customHeight="1" x14ac:dyDescent="0.55000000000000004"/>
    <row r="369" ht="14.25" customHeight="1" x14ac:dyDescent="0.55000000000000004"/>
    <row r="370" ht="14.25" customHeight="1" x14ac:dyDescent="0.55000000000000004"/>
    <row r="371" ht="14.25" customHeight="1" x14ac:dyDescent="0.55000000000000004"/>
    <row r="372" ht="14.25" customHeight="1" x14ac:dyDescent="0.55000000000000004"/>
    <row r="373" ht="14.25" customHeight="1" x14ac:dyDescent="0.55000000000000004"/>
    <row r="374" ht="14.25" customHeight="1" x14ac:dyDescent="0.55000000000000004"/>
    <row r="375" ht="14.25" customHeight="1" x14ac:dyDescent="0.55000000000000004"/>
    <row r="376" ht="14.25" customHeight="1" x14ac:dyDescent="0.55000000000000004"/>
    <row r="377" ht="14.25" customHeight="1" x14ac:dyDescent="0.55000000000000004"/>
    <row r="378" ht="14.25" customHeight="1" x14ac:dyDescent="0.55000000000000004"/>
    <row r="379" ht="14.25" customHeight="1" x14ac:dyDescent="0.55000000000000004"/>
    <row r="380" ht="14.25" customHeight="1" x14ac:dyDescent="0.55000000000000004"/>
    <row r="381" ht="14.25" customHeight="1" x14ac:dyDescent="0.55000000000000004"/>
    <row r="382" ht="14.25" customHeight="1" x14ac:dyDescent="0.55000000000000004"/>
    <row r="383" ht="14.25" customHeight="1" x14ac:dyDescent="0.55000000000000004"/>
    <row r="384" ht="14.25" customHeight="1" x14ac:dyDescent="0.55000000000000004"/>
    <row r="385" ht="14.25" customHeight="1" x14ac:dyDescent="0.55000000000000004"/>
    <row r="386" ht="14.25" customHeight="1" x14ac:dyDescent="0.55000000000000004"/>
    <row r="387" ht="14.25" customHeight="1" x14ac:dyDescent="0.55000000000000004"/>
    <row r="388" ht="14.25" customHeight="1" x14ac:dyDescent="0.55000000000000004"/>
    <row r="389" ht="14.25" customHeight="1" x14ac:dyDescent="0.55000000000000004"/>
    <row r="390" ht="14.25" customHeight="1" x14ac:dyDescent="0.55000000000000004"/>
    <row r="391" ht="14.25" customHeight="1" x14ac:dyDescent="0.55000000000000004"/>
    <row r="392" ht="14.25" customHeight="1" x14ac:dyDescent="0.55000000000000004"/>
    <row r="393" ht="14.25" customHeight="1" x14ac:dyDescent="0.55000000000000004"/>
    <row r="394" ht="14.25" customHeight="1" x14ac:dyDescent="0.55000000000000004"/>
    <row r="395" ht="14.25" customHeight="1" x14ac:dyDescent="0.55000000000000004"/>
    <row r="396" ht="14.25" customHeight="1" x14ac:dyDescent="0.55000000000000004"/>
    <row r="397" ht="14.25" customHeight="1" x14ac:dyDescent="0.55000000000000004"/>
    <row r="398" ht="14.25" customHeight="1" x14ac:dyDescent="0.55000000000000004"/>
    <row r="399" ht="14.25" customHeight="1" x14ac:dyDescent="0.55000000000000004"/>
    <row r="400" ht="14.25" customHeight="1" x14ac:dyDescent="0.55000000000000004"/>
    <row r="401" ht="14.25" customHeight="1" x14ac:dyDescent="0.55000000000000004"/>
    <row r="402" ht="14.25" customHeight="1" x14ac:dyDescent="0.55000000000000004"/>
    <row r="403" ht="14.25" customHeight="1" x14ac:dyDescent="0.55000000000000004"/>
    <row r="404" ht="14.25" customHeight="1" x14ac:dyDescent="0.55000000000000004"/>
    <row r="405" ht="14.25" customHeight="1" x14ac:dyDescent="0.55000000000000004"/>
    <row r="406" ht="14.25" customHeight="1" x14ac:dyDescent="0.55000000000000004"/>
    <row r="407" ht="14.25" customHeight="1" x14ac:dyDescent="0.55000000000000004"/>
    <row r="408" ht="14.25" customHeight="1" x14ac:dyDescent="0.55000000000000004"/>
    <row r="409" ht="14.25" customHeight="1" x14ac:dyDescent="0.55000000000000004"/>
    <row r="410" ht="14.25" customHeight="1" x14ac:dyDescent="0.55000000000000004"/>
    <row r="411" ht="14.25" customHeight="1" x14ac:dyDescent="0.55000000000000004"/>
    <row r="412" ht="14.25" customHeight="1" x14ac:dyDescent="0.55000000000000004"/>
    <row r="413" ht="14.25" customHeight="1" x14ac:dyDescent="0.55000000000000004"/>
    <row r="414" ht="14.25" customHeight="1" x14ac:dyDescent="0.55000000000000004"/>
    <row r="415" ht="14.25" customHeight="1" x14ac:dyDescent="0.55000000000000004"/>
    <row r="416" ht="14.25" customHeight="1" x14ac:dyDescent="0.55000000000000004"/>
    <row r="417" ht="14.25" customHeight="1" x14ac:dyDescent="0.55000000000000004"/>
    <row r="418" ht="14.25" customHeight="1" x14ac:dyDescent="0.55000000000000004"/>
    <row r="419" ht="14.25" customHeight="1" x14ac:dyDescent="0.55000000000000004"/>
    <row r="420" ht="14.25" customHeight="1" x14ac:dyDescent="0.55000000000000004"/>
    <row r="421" ht="14.25" customHeight="1" x14ac:dyDescent="0.55000000000000004"/>
    <row r="422" ht="14.25" customHeight="1" x14ac:dyDescent="0.55000000000000004"/>
    <row r="423" ht="14.25" customHeight="1" x14ac:dyDescent="0.55000000000000004"/>
    <row r="424" ht="14.25" customHeight="1" x14ac:dyDescent="0.55000000000000004"/>
    <row r="425" ht="14.25" customHeight="1" x14ac:dyDescent="0.55000000000000004"/>
    <row r="426" ht="14.25" customHeight="1" x14ac:dyDescent="0.55000000000000004"/>
    <row r="427" ht="14.25" customHeight="1" x14ac:dyDescent="0.55000000000000004"/>
    <row r="428" ht="14.25" customHeight="1" x14ac:dyDescent="0.55000000000000004"/>
    <row r="429" ht="14.25" customHeight="1" x14ac:dyDescent="0.55000000000000004"/>
    <row r="430" ht="14.25" customHeight="1" x14ac:dyDescent="0.55000000000000004"/>
    <row r="431" ht="14.25" customHeight="1" x14ac:dyDescent="0.55000000000000004"/>
    <row r="432" ht="14.25" customHeight="1" x14ac:dyDescent="0.55000000000000004"/>
    <row r="433" ht="14.25" customHeight="1" x14ac:dyDescent="0.55000000000000004"/>
    <row r="434" ht="14.25" customHeight="1" x14ac:dyDescent="0.55000000000000004"/>
    <row r="435" ht="14.25" customHeight="1" x14ac:dyDescent="0.55000000000000004"/>
    <row r="436" ht="14.25" customHeight="1" x14ac:dyDescent="0.55000000000000004"/>
    <row r="437" ht="14.25" customHeight="1" x14ac:dyDescent="0.55000000000000004"/>
    <row r="438" ht="14.25" customHeight="1" x14ac:dyDescent="0.55000000000000004"/>
    <row r="439" ht="14.25" customHeight="1" x14ac:dyDescent="0.55000000000000004"/>
    <row r="440" ht="14.25" customHeight="1" x14ac:dyDescent="0.55000000000000004"/>
    <row r="441" ht="14.25" customHeight="1" x14ac:dyDescent="0.55000000000000004"/>
    <row r="442" ht="14.25" customHeight="1" x14ac:dyDescent="0.55000000000000004"/>
    <row r="443" ht="14.25" customHeight="1" x14ac:dyDescent="0.55000000000000004"/>
    <row r="444" ht="14.25" customHeight="1" x14ac:dyDescent="0.55000000000000004"/>
    <row r="445" ht="14.25" customHeight="1" x14ac:dyDescent="0.55000000000000004"/>
    <row r="446" ht="14.25" customHeight="1" x14ac:dyDescent="0.55000000000000004"/>
    <row r="447" ht="14.25" customHeight="1" x14ac:dyDescent="0.55000000000000004"/>
    <row r="448" ht="14.25" customHeight="1" x14ac:dyDescent="0.55000000000000004"/>
    <row r="449" ht="14.25" customHeight="1" x14ac:dyDescent="0.55000000000000004"/>
    <row r="450" ht="14.25" customHeight="1" x14ac:dyDescent="0.55000000000000004"/>
    <row r="451" ht="14.25" customHeight="1" x14ac:dyDescent="0.55000000000000004"/>
    <row r="452" ht="14.25" customHeight="1" x14ac:dyDescent="0.55000000000000004"/>
    <row r="453" ht="14.25" customHeight="1" x14ac:dyDescent="0.55000000000000004"/>
    <row r="454" ht="14.25" customHeight="1" x14ac:dyDescent="0.55000000000000004"/>
    <row r="455" ht="14.25" customHeight="1" x14ac:dyDescent="0.55000000000000004"/>
    <row r="456" ht="14.25" customHeight="1" x14ac:dyDescent="0.55000000000000004"/>
    <row r="457" ht="14.25" customHeight="1" x14ac:dyDescent="0.55000000000000004"/>
    <row r="458" ht="14.25" customHeight="1" x14ac:dyDescent="0.55000000000000004"/>
    <row r="459" ht="14.25" customHeight="1" x14ac:dyDescent="0.55000000000000004"/>
    <row r="460" ht="14.25" customHeight="1" x14ac:dyDescent="0.55000000000000004"/>
    <row r="461" ht="14.25" customHeight="1" x14ac:dyDescent="0.55000000000000004"/>
    <row r="462" ht="14.25" customHeight="1" x14ac:dyDescent="0.55000000000000004"/>
    <row r="463" ht="14.25" customHeight="1" x14ac:dyDescent="0.55000000000000004"/>
    <row r="464" ht="14.25" customHeight="1" x14ac:dyDescent="0.55000000000000004"/>
    <row r="465" ht="14.25" customHeight="1" x14ac:dyDescent="0.55000000000000004"/>
    <row r="466" ht="14.25" customHeight="1" x14ac:dyDescent="0.55000000000000004"/>
    <row r="467" ht="14.25" customHeight="1" x14ac:dyDescent="0.55000000000000004"/>
    <row r="468" ht="14.25" customHeight="1" x14ac:dyDescent="0.55000000000000004"/>
    <row r="469" ht="14.25" customHeight="1" x14ac:dyDescent="0.55000000000000004"/>
    <row r="470" ht="14.25" customHeight="1" x14ac:dyDescent="0.55000000000000004"/>
    <row r="471" ht="14.25" customHeight="1" x14ac:dyDescent="0.55000000000000004"/>
    <row r="472" ht="14.25" customHeight="1" x14ac:dyDescent="0.55000000000000004"/>
    <row r="473" ht="14.25" customHeight="1" x14ac:dyDescent="0.55000000000000004"/>
    <row r="474" ht="14.25" customHeight="1" x14ac:dyDescent="0.55000000000000004"/>
    <row r="475" ht="14.25" customHeight="1" x14ac:dyDescent="0.55000000000000004"/>
    <row r="476" ht="14.25" customHeight="1" x14ac:dyDescent="0.55000000000000004"/>
    <row r="477" ht="14.25" customHeight="1" x14ac:dyDescent="0.55000000000000004"/>
    <row r="478" ht="14.25" customHeight="1" x14ac:dyDescent="0.55000000000000004"/>
    <row r="479" ht="14.25" customHeight="1" x14ac:dyDescent="0.55000000000000004"/>
    <row r="480" ht="14.25" customHeight="1" x14ac:dyDescent="0.55000000000000004"/>
    <row r="481" ht="14.25" customHeight="1" x14ac:dyDescent="0.55000000000000004"/>
    <row r="482" ht="14.25" customHeight="1" x14ac:dyDescent="0.55000000000000004"/>
    <row r="483" ht="14.25" customHeight="1" x14ac:dyDescent="0.55000000000000004"/>
    <row r="484" ht="14.25" customHeight="1" x14ac:dyDescent="0.55000000000000004"/>
    <row r="485" ht="14.25" customHeight="1" x14ac:dyDescent="0.55000000000000004"/>
    <row r="486" ht="14.25" customHeight="1" x14ac:dyDescent="0.55000000000000004"/>
    <row r="487" ht="14.25" customHeight="1" x14ac:dyDescent="0.55000000000000004"/>
    <row r="488" ht="14.25" customHeight="1" x14ac:dyDescent="0.55000000000000004"/>
    <row r="489" ht="14.25" customHeight="1" x14ac:dyDescent="0.55000000000000004"/>
    <row r="490" ht="14.25" customHeight="1" x14ac:dyDescent="0.55000000000000004"/>
    <row r="491" ht="14.25" customHeight="1" x14ac:dyDescent="0.55000000000000004"/>
    <row r="492" ht="14.25" customHeight="1" x14ac:dyDescent="0.55000000000000004"/>
    <row r="493" ht="14.25" customHeight="1" x14ac:dyDescent="0.55000000000000004"/>
    <row r="494" ht="14.25" customHeight="1" x14ac:dyDescent="0.55000000000000004"/>
    <row r="495" ht="14.25" customHeight="1" x14ac:dyDescent="0.55000000000000004"/>
    <row r="496" ht="14.25" customHeight="1" x14ac:dyDescent="0.55000000000000004"/>
    <row r="497" ht="14.25" customHeight="1" x14ac:dyDescent="0.55000000000000004"/>
    <row r="498" ht="14.25" customHeight="1" x14ac:dyDescent="0.55000000000000004"/>
    <row r="499" ht="14.25" customHeight="1" x14ac:dyDescent="0.55000000000000004"/>
    <row r="500" ht="14.25" customHeight="1" x14ac:dyDescent="0.55000000000000004"/>
    <row r="501" ht="14.25" customHeight="1" x14ac:dyDescent="0.55000000000000004"/>
    <row r="502" ht="14.25" customHeight="1" x14ac:dyDescent="0.55000000000000004"/>
    <row r="503" ht="14.25" customHeight="1" x14ac:dyDescent="0.55000000000000004"/>
    <row r="504" ht="14.25" customHeight="1" x14ac:dyDescent="0.55000000000000004"/>
    <row r="505" ht="14.25" customHeight="1" x14ac:dyDescent="0.55000000000000004"/>
    <row r="506" ht="14.25" customHeight="1" x14ac:dyDescent="0.55000000000000004"/>
    <row r="507" ht="14.25" customHeight="1" x14ac:dyDescent="0.55000000000000004"/>
    <row r="508" ht="14.25" customHeight="1" x14ac:dyDescent="0.55000000000000004"/>
    <row r="509" ht="14.25" customHeight="1" x14ac:dyDescent="0.55000000000000004"/>
    <row r="510" ht="14.25" customHeight="1" x14ac:dyDescent="0.55000000000000004"/>
    <row r="511" ht="14.25" customHeight="1" x14ac:dyDescent="0.55000000000000004"/>
    <row r="512" ht="14.25" customHeight="1" x14ac:dyDescent="0.55000000000000004"/>
    <row r="513" ht="14.25" customHeight="1" x14ac:dyDescent="0.55000000000000004"/>
    <row r="514" ht="14.25" customHeight="1" x14ac:dyDescent="0.55000000000000004"/>
    <row r="515" ht="14.25" customHeight="1" x14ac:dyDescent="0.55000000000000004"/>
    <row r="516" ht="14.25" customHeight="1" x14ac:dyDescent="0.55000000000000004"/>
    <row r="517" ht="14.25" customHeight="1" x14ac:dyDescent="0.55000000000000004"/>
    <row r="518" ht="14.25" customHeight="1" x14ac:dyDescent="0.55000000000000004"/>
    <row r="519" ht="14.25" customHeight="1" x14ac:dyDescent="0.55000000000000004"/>
    <row r="520" ht="14.25" customHeight="1" x14ac:dyDescent="0.55000000000000004"/>
    <row r="521" ht="14.25" customHeight="1" x14ac:dyDescent="0.55000000000000004"/>
    <row r="522" ht="14.25" customHeight="1" x14ac:dyDescent="0.55000000000000004"/>
    <row r="523" ht="14.25" customHeight="1" x14ac:dyDescent="0.55000000000000004"/>
    <row r="524" ht="14.25" customHeight="1" x14ac:dyDescent="0.55000000000000004"/>
    <row r="525" ht="14.25" customHeight="1" x14ac:dyDescent="0.55000000000000004"/>
    <row r="526" ht="14.25" customHeight="1" x14ac:dyDescent="0.55000000000000004"/>
    <row r="527" ht="14.25" customHeight="1" x14ac:dyDescent="0.55000000000000004"/>
    <row r="528" ht="14.25" customHeight="1" x14ac:dyDescent="0.55000000000000004"/>
    <row r="529" ht="14.25" customHeight="1" x14ac:dyDescent="0.55000000000000004"/>
    <row r="530" ht="14.25" customHeight="1" x14ac:dyDescent="0.55000000000000004"/>
    <row r="531" ht="14.25" customHeight="1" x14ac:dyDescent="0.55000000000000004"/>
    <row r="532" ht="14.25" customHeight="1" x14ac:dyDescent="0.55000000000000004"/>
    <row r="533" ht="14.25" customHeight="1" x14ac:dyDescent="0.55000000000000004"/>
    <row r="534" ht="14.25" customHeight="1" x14ac:dyDescent="0.55000000000000004"/>
    <row r="535" ht="14.25" customHeight="1" x14ac:dyDescent="0.55000000000000004"/>
    <row r="536" ht="14.25" customHeight="1" x14ac:dyDescent="0.55000000000000004"/>
    <row r="537" ht="14.25" customHeight="1" x14ac:dyDescent="0.55000000000000004"/>
    <row r="538" ht="14.25" customHeight="1" x14ac:dyDescent="0.55000000000000004"/>
    <row r="539" ht="14.25" customHeight="1" x14ac:dyDescent="0.55000000000000004"/>
    <row r="540" ht="14.25" customHeight="1" x14ac:dyDescent="0.55000000000000004"/>
    <row r="541" ht="14.25" customHeight="1" x14ac:dyDescent="0.55000000000000004"/>
    <row r="542" ht="14.25" customHeight="1" x14ac:dyDescent="0.55000000000000004"/>
    <row r="543" ht="14.25" customHeight="1" x14ac:dyDescent="0.55000000000000004"/>
    <row r="544" ht="14.25" customHeight="1" x14ac:dyDescent="0.55000000000000004"/>
    <row r="545" ht="14.25" customHeight="1" x14ac:dyDescent="0.55000000000000004"/>
    <row r="546" ht="14.25" customHeight="1" x14ac:dyDescent="0.55000000000000004"/>
    <row r="547" ht="14.25" customHeight="1" x14ac:dyDescent="0.55000000000000004"/>
    <row r="548" ht="14.25" customHeight="1" x14ac:dyDescent="0.55000000000000004"/>
    <row r="549" ht="14.25" customHeight="1" x14ac:dyDescent="0.55000000000000004"/>
    <row r="550" ht="14.25" customHeight="1" x14ac:dyDescent="0.55000000000000004"/>
    <row r="551" ht="14.25" customHeight="1" x14ac:dyDescent="0.55000000000000004"/>
    <row r="552" ht="14.25" customHeight="1" x14ac:dyDescent="0.55000000000000004"/>
    <row r="553" ht="14.25" customHeight="1" x14ac:dyDescent="0.55000000000000004"/>
    <row r="554" ht="14.25" customHeight="1" x14ac:dyDescent="0.55000000000000004"/>
    <row r="555" ht="14.25" customHeight="1" x14ac:dyDescent="0.55000000000000004"/>
    <row r="556" ht="14.25" customHeight="1" x14ac:dyDescent="0.55000000000000004"/>
    <row r="557" ht="14.25" customHeight="1" x14ac:dyDescent="0.55000000000000004"/>
    <row r="558" ht="14.25" customHeight="1" x14ac:dyDescent="0.55000000000000004"/>
    <row r="559" ht="14.25" customHeight="1" x14ac:dyDescent="0.55000000000000004"/>
    <row r="560" ht="14.25" customHeight="1" x14ac:dyDescent="0.55000000000000004"/>
    <row r="561" ht="14.25" customHeight="1" x14ac:dyDescent="0.55000000000000004"/>
    <row r="562" ht="14.25" customHeight="1" x14ac:dyDescent="0.55000000000000004"/>
    <row r="563" ht="14.25" customHeight="1" x14ac:dyDescent="0.55000000000000004"/>
    <row r="564" ht="14.25" customHeight="1" x14ac:dyDescent="0.55000000000000004"/>
    <row r="565" ht="14.25" customHeight="1" x14ac:dyDescent="0.55000000000000004"/>
    <row r="566" ht="14.25" customHeight="1" x14ac:dyDescent="0.55000000000000004"/>
    <row r="567" ht="14.25" customHeight="1" x14ac:dyDescent="0.55000000000000004"/>
    <row r="568" ht="14.25" customHeight="1" x14ac:dyDescent="0.55000000000000004"/>
    <row r="569" ht="14.25" customHeight="1" x14ac:dyDescent="0.55000000000000004"/>
    <row r="570" ht="14.25" customHeight="1" x14ac:dyDescent="0.55000000000000004"/>
    <row r="571" ht="14.25" customHeight="1" x14ac:dyDescent="0.55000000000000004"/>
    <row r="572" ht="14.25" customHeight="1" x14ac:dyDescent="0.55000000000000004"/>
    <row r="573" ht="14.25" customHeight="1" x14ac:dyDescent="0.55000000000000004"/>
    <row r="574" ht="14.25" customHeight="1" x14ac:dyDescent="0.55000000000000004"/>
    <row r="575" ht="14.25" customHeight="1" x14ac:dyDescent="0.55000000000000004"/>
    <row r="576" ht="14.25" customHeight="1" x14ac:dyDescent="0.55000000000000004"/>
    <row r="577" ht="14.25" customHeight="1" x14ac:dyDescent="0.55000000000000004"/>
    <row r="578" ht="14.25" customHeight="1" x14ac:dyDescent="0.55000000000000004"/>
    <row r="579" ht="14.25" customHeight="1" x14ac:dyDescent="0.55000000000000004"/>
    <row r="580" ht="14.25" customHeight="1" x14ac:dyDescent="0.55000000000000004"/>
    <row r="581" ht="14.25" customHeight="1" x14ac:dyDescent="0.55000000000000004"/>
    <row r="582" ht="14.25" customHeight="1" x14ac:dyDescent="0.55000000000000004"/>
    <row r="583" ht="14.25" customHeight="1" x14ac:dyDescent="0.55000000000000004"/>
    <row r="584" ht="14.25" customHeight="1" x14ac:dyDescent="0.55000000000000004"/>
    <row r="585" ht="14.25" customHeight="1" x14ac:dyDescent="0.55000000000000004"/>
    <row r="586" ht="14.25" customHeight="1" x14ac:dyDescent="0.55000000000000004"/>
    <row r="587" ht="14.25" customHeight="1" x14ac:dyDescent="0.55000000000000004"/>
    <row r="588" ht="14.25" customHeight="1" x14ac:dyDescent="0.55000000000000004"/>
    <row r="589" ht="14.25" customHeight="1" x14ac:dyDescent="0.55000000000000004"/>
    <row r="590" ht="14.25" customHeight="1" x14ac:dyDescent="0.55000000000000004"/>
    <row r="591" ht="14.25" customHeight="1" x14ac:dyDescent="0.55000000000000004"/>
    <row r="592" ht="14.25" customHeight="1" x14ac:dyDescent="0.55000000000000004"/>
    <row r="593" ht="14.25" customHeight="1" x14ac:dyDescent="0.55000000000000004"/>
    <row r="594" ht="14.25" customHeight="1" x14ac:dyDescent="0.55000000000000004"/>
    <row r="595" ht="14.25" customHeight="1" x14ac:dyDescent="0.55000000000000004"/>
    <row r="596" ht="14.25" customHeight="1" x14ac:dyDescent="0.55000000000000004"/>
    <row r="597" ht="14.25" customHeight="1" x14ac:dyDescent="0.55000000000000004"/>
    <row r="598" ht="14.25" customHeight="1" x14ac:dyDescent="0.55000000000000004"/>
    <row r="599" ht="14.25" customHeight="1" x14ac:dyDescent="0.55000000000000004"/>
    <row r="600" ht="14.25" customHeight="1" x14ac:dyDescent="0.55000000000000004"/>
    <row r="601" ht="14.25" customHeight="1" x14ac:dyDescent="0.55000000000000004"/>
    <row r="602" ht="14.25" customHeight="1" x14ac:dyDescent="0.55000000000000004"/>
    <row r="603" ht="14.25" customHeight="1" x14ac:dyDescent="0.55000000000000004"/>
    <row r="604" ht="14.25" customHeight="1" x14ac:dyDescent="0.55000000000000004"/>
    <row r="605" ht="14.25" customHeight="1" x14ac:dyDescent="0.55000000000000004"/>
    <row r="606" ht="14.25" customHeight="1" x14ac:dyDescent="0.55000000000000004"/>
    <row r="607" ht="14.25" customHeight="1" x14ac:dyDescent="0.55000000000000004"/>
    <row r="608" ht="14.25" customHeight="1" x14ac:dyDescent="0.55000000000000004"/>
    <row r="609" ht="14.25" customHeight="1" x14ac:dyDescent="0.55000000000000004"/>
    <row r="610" ht="14.25" customHeight="1" x14ac:dyDescent="0.55000000000000004"/>
    <row r="611" ht="14.25" customHeight="1" x14ac:dyDescent="0.55000000000000004"/>
    <row r="612" ht="14.25" customHeight="1" x14ac:dyDescent="0.55000000000000004"/>
    <row r="613" ht="14.25" customHeight="1" x14ac:dyDescent="0.55000000000000004"/>
    <row r="614" ht="14.25" customHeight="1" x14ac:dyDescent="0.55000000000000004"/>
    <row r="615" ht="14.25" customHeight="1" x14ac:dyDescent="0.55000000000000004"/>
    <row r="616" ht="14.25" customHeight="1" x14ac:dyDescent="0.55000000000000004"/>
    <row r="617" ht="14.25" customHeight="1" x14ac:dyDescent="0.55000000000000004"/>
    <row r="618" ht="14.25" customHeight="1" x14ac:dyDescent="0.55000000000000004"/>
    <row r="619" ht="14.25" customHeight="1" x14ac:dyDescent="0.55000000000000004"/>
    <row r="620" ht="14.25" customHeight="1" x14ac:dyDescent="0.55000000000000004"/>
    <row r="621" ht="14.25" customHeight="1" x14ac:dyDescent="0.55000000000000004"/>
    <row r="622" ht="14.25" customHeight="1" x14ac:dyDescent="0.55000000000000004"/>
    <row r="623" ht="14.25" customHeight="1" x14ac:dyDescent="0.55000000000000004"/>
    <row r="624" ht="14.25" customHeight="1" x14ac:dyDescent="0.55000000000000004"/>
    <row r="625" ht="14.25" customHeight="1" x14ac:dyDescent="0.55000000000000004"/>
    <row r="626" ht="14.25" customHeight="1" x14ac:dyDescent="0.55000000000000004"/>
    <row r="627" ht="14.25" customHeight="1" x14ac:dyDescent="0.55000000000000004"/>
    <row r="628" ht="14.25" customHeight="1" x14ac:dyDescent="0.55000000000000004"/>
    <row r="629" ht="14.25" customHeight="1" x14ac:dyDescent="0.55000000000000004"/>
    <row r="630" ht="14.25" customHeight="1" x14ac:dyDescent="0.55000000000000004"/>
    <row r="631" ht="14.25" customHeight="1" x14ac:dyDescent="0.55000000000000004"/>
    <row r="632" ht="14.25" customHeight="1" x14ac:dyDescent="0.55000000000000004"/>
    <row r="633" ht="14.25" customHeight="1" x14ac:dyDescent="0.55000000000000004"/>
    <row r="634" ht="14.25" customHeight="1" x14ac:dyDescent="0.55000000000000004"/>
    <row r="635" ht="14.25" customHeight="1" x14ac:dyDescent="0.55000000000000004"/>
    <row r="636" ht="14.25" customHeight="1" x14ac:dyDescent="0.55000000000000004"/>
    <row r="637" ht="14.25" customHeight="1" x14ac:dyDescent="0.55000000000000004"/>
    <row r="638" ht="14.25" customHeight="1" x14ac:dyDescent="0.55000000000000004"/>
    <row r="639" ht="14.25" customHeight="1" x14ac:dyDescent="0.55000000000000004"/>
    <row r="640" ht="14.25" customHeight="1" x14ac:dyDescent="0.55000000000000004"/>
    <row r="641" ht="14.25" customHeight="1" x14ac:dyDescent="0.55000000000000004"/>
    <row r="642" ht="14.25" customHeight="1" x14ac:dyDescent="0.55000000000000004"/>
    <row r="643" ht="14.25" customHeight="1" x14ac:dyDescent="0.55000000000000004"/>
    <row r="644" ht="14.25" customHeight="1" x14ac:dyDescent="0.55000000000000004"/>
    <row r="645" ht="14.25" customHeight="1" x14ac:dyDescent="0.55000000000000004"/>
    <row r="646" ht="14.25" customHeight="1" x14ac:dyDescent="0.55000000000000004"/>
    <row r="647" ht="14.25" customHeight="1" x14ac:dyDescent="0.55000000000000004"/>
    <row r="648" ht="14.25" customHeight="1" x14ac:dyDescent="0.55000000000000004"/>
    <row r="649" ht="14.25" customHeight="1" x14ac:dyDescent="0.55000000000000004"/>
    <row r="650" ht="14.25" customHeight="1" x14ac:dyDescent="0.55000000000000004"/>
    <row r="651" ht="14.25" customHeight="1" x14ac:dyDescent="0.55000000000000004"/>
    <row r="652" ht="14.25" customHeight="1" x14ac:dyDescent="0.55000000000000004"/>
    <row r="653" ht="14.25" customHeight="1" x14ac:dyDescent="0.55000000000000004"/>
    <row r="654" ht="14.25" customHeight="1" x14ac:dyDescent="0.55000000000000004"/>
    <row r="655" ht="14.25" customHeight="1" x14ac:dyDescent="0.55000000000000004"/>
    <row r="656" ht="14.25" customHeight="1" x14ac:dyDescent="0.55000000000000004"/>
    <row r="657" ht="14.25" customHeight="1" x14ac:dyDescent="0.55000000000000004"/>
    <row r="658" ht="14.25" customHeight="1" x14ac:dyDescent="0.55000000000000004"/>
    <row r="659" ht="14.25" customHeight="1" x14ac:dyDescent="0.55000000000000004"/>
    <row r="660" ht="14.25" customHeight="1" x14ac:dyDescent="0.55000000000000004"/>
    <row r="661" ht="14.25" customHeight="1" x14ac:dyDescent="0.55000000000000004"/>
    <row r="662" ht="14.25" customHeight="1" x14ac:dyDescent="0.55000000000000004"/>
    <row r="663" ht="14.25" customHeight="1" x14ac:dyDescent="0.55000000000000004"/>
    <row r="664" ht="14.25" customHeight="1" x14ac:dyDescent="0.55000000000000004"/>
    <row r="665" ht="14.25" customHeight="1" x14ac:dyDescent="0.55000000000000004"/>
    <row r="666" ht="14.25" customHeight="1" x14ac:dyDescent="0.55000000000000004"/>
    <row r="667" ht="14.25" customHeight="1" x14ac:dyDescent="0.55000000000000004"/>
    <row r="668" ht="14.25" customHeight="1" x14ac:dyDescent="0.55000000000000004"/>
    <row r="669" ht="14.25" customHeight="1" x14ac:dyDescent="0.55000000000000004"/>
    <row r="670" ht="14.25" customHeight="1" x14ac:dyDescent="0.55000000000000004"/>
    <row r="671" ht="14.25" customHeight="1" x14ac:dyDescent="0.55000000000000004"/>
    <row r="672" ht="14.25" customHeight="1" x14ac:dyDescent="0.55000000000000004"/>
    <row r="673" ht="14.25" customHeight="1" x14ac:dyDescent="0.55000000000000004"/>
    <row r="674" ht="14.25" customHeight="1" x14ac:dyDescent="0.55000000000000004"/>
    <row r="675" ht="14.25" customHeight="1" x14ac:dyDescent="0.55000000000000004"/>
    <row r="676" ht="14.25" customHeight="1" x14ac:dyDescent="0.55000000000000004"/>
    <row r="677" ht="14.25" customHeight="1" x14ac:dyDescent="0.55000000000000004"/>
    <row r="678" ht="14.25" customHeight="1" x14ac:dyDescent="0.55000000000000004"/>
    <row r="679" ht="14.25" customHeight="1" x14ac:dyDescent="0.55000000000000004"/>
    <row r="680" ht="14.25" customHeight="1" x14ac:dyDescent="0.55000000000000004"/>
    <row r="681" ht="14.25" customHeight="1" x14ac:dyDescent="0.55000000000000004"/>
    <row r="682" ht="14.25" customHeight="1" x14ac:dyDescent="0.55000000000000004"/>
    <row r="683" ht="14.25" customHeight="1" x14ac:dyDescent="0.55000000000000004"/>
    <row r="684" ht="14.25" customHeight="1" x14ac:dyDescent="0.55000000000000004"/>
    <row r="685" ht="14.25" customHeight="1" x14ac:dyDescent="0.55000000000000004"/>
    <row r="686" ht="14.25" customHeight="1" x14ac:dyDescent="0.55000000000000004"/>
    <row r="687" ht="14.25" customHeight="1" x14ac:dyDescent="0.55000000000000004"/>
    <row r="688" ht="14.25" customHeight="1" x14ac:dyDescent="0.55000000000000004"/>
    <row r="689" ht="14.25" customHeight="1" x14ac:dyDescent="0.55000000000000004"/>
    <row r="690" ht="14.25" customHeight="1" x14ac:dyDescent="0.55000000000000004"/>
    <row r="691" ht="14.25" customHeight="1" x14ac:dyDescent="0.55000000000000004"/>
    <row r="692" ht="14.25" customHeight="1" x14ac:dyDescent="0.55000000000000004"/>
    <row r="693" ht="14.25" customHeight="1" x14ac:dyDescent="0.55000000000000004"/>
    <row r="694" ht="14.25" customHeight="1" x14ac:dyDescent="0.55000000000000004"/>
    <row r="695" ht="14.25" customHeight="1" x14ac:dyDescent="0.55000000000000004"/>
    <row r="696" ht="14.25" customHeight="1" x14ac:dyDescent="0.55000000000000004"/>
    <row r="697" ht="14.25" customHeight="1" x14ac:dyDescent="0.55000000000000004"/>
    <row r="698" ht="14.25" customHeight="1" x14ac:dyDescent="0.55000000000000004"/>
    <row r="699" ht="14.25" customHeight="1" x14ac:dyDescent="0.55000000000000004"/>
    <row r="700" ht="14.25" customHeight="1" x14ac:dyDescent="0.55000000000000004"/>
    <row r="701" ht="14.25" customHeight="1" x14ac:dyDescent="0.55000000000000004"/>
    <row r="702" ht="14.25" customHeight="1" x14ac:dyDescent="0.55000000000000004"/>
    <row r="703" ht="14.25" customHeight="1" x14ac:dyDescent="0.55000000000000004"/>
    <row r="704" ht="14.25" customHeight="1" x14ac:dyDescent="0.55000000000000004"/>
    <row r="705" ht="14.25" customHeight="1" x14ac:dyDescent="0.55000000000000004"/>
    <row r="706" ht="14.25" customHeight="1" x14ac:dyDescent="0.55000000000000004"/>
    <row r="707" ht="14.25" customHeight="1" x14ac:dyDescent="0.55000000000000004"/>
    <row r="708" ht="14.25" customHeight="1" x14ac:dyDescent="0.55000000000000004"/>
    <row r="709" ht="14.25" customHeight="1" x14ac:dyDescent="0.55000000000000004"/>
    <row r="710" ht="14.25" customHeight="1" x14ac:dyDescent="0.55000000000000004"/>
    <row r="711" ht="14.25" customHeight="1" x14ac:dyDescent="0.55000000000000004"/>
    <row r="712" ht="14.25" customHeight="1" x14ac:dyDescent="0.55000000000000004"/>
    <row r="713" ht="14.25" customHeight="1" x14ac:dyDescent="0.55000000000000004"/>
    <row r="714" ht="14.25" customHeight="1" x14ac:dyDescent="0.55000000000000004"/>
    <row r="715" ht="14.25" customHeight="1" x14ac:dyDescent="0.55000000000000004"/>
    <row r="716" ht="14.25" customHeight="1" x14ac:dyDescent="0.55000000000000004"/>
    <row r="717" ht="14.25" customHeight="1" x14ac:dyDescent="0.55000000000000004"/>
    <row r="718" ht="14.25" customHeight="1" x14ac:dyDescent="0.55000000000000004"/>
    <row r="719" ht="14.25" customHeight="1" x14ac:dyDescent="0.55000000000000004"/>
    <row r="720" ht="14.25" customHeight="1" x14ac:dyDescent="0.55000000000000004"/>
    <row r="721" ht="14.25" customHeight="1" x14ac:dyDescent="0.55000000000000004"/>
    <row r="722" ht="14.25" customHeight="1" x14ac:dyDescent="0.55000000000000004"/>
    <row r="723" ht="14.25" customHeight="1" x14ac:dyDescent="0.55000000000000004"/>
    <row r="724" ht="14.25" customHeight="1" x14ac:dyDescent="0.55000000000000004"/>
    <row r="725" ht="14.25" customHeight="1" x14ac:dyDescent="0.55000000000000004"/>
    <row r="726" ht="14.25" customHeight="1" x14ac:dyDescent="0.55000000000000004"/>
    <row r="727" ht="14.25" customHeight="1" x14ac:dyDescent="0.55000000000000004"/>
    <row r="728" ht="14.25" customHeight="1" x14ac:dyDescent="0.55000000000000004"/>
    <row r="729" ht="14.25" customHeight="1" x14ac:dyDescent="0.55000000000000004"/>
    <row r="730" ht="14.25" customHeight="1" x14ac:dyDescent="0.55000000000000004"/>
    <row r="731" ht="14.25" customHeight="1" x14ac:dyDescent="0.55000000000000004"/>
    <row r="732" ht="14.25" customHeight="1" x14ac:dyDescent="0.55000000000000004"/>
    <row r="733" ht="14.25" customHeight="1" x14ac:dyDescent="0.55000000000000004"/>
    <row r="734" ht="14.25" customHeight="1" x14ac:dyDescent="0.55000000000000004"/>
    <row r="735" ht="14.25" customHeight="1" x14ac:dyDescent="0.55000000000000004"/>
    <row r="736" ht="14.25" customHeight="1" x14ac:dyDescent="0.55000000000000004"/>
    <row r="737" ht="14.25" customHeight="1" x14ac:dyDescent="0.55000000000000004"/>
    <row r="738" ht="14.25" customHeight="1" x14ac:dyDescent="0.55000000000000004"/>
    <row r="739" ht="14.25" customHeight="1" x14ac:dyDescent="0.55000000000000004"/>
    <row r="740" ht="14.25" customHeight="1" x14ac:dyDescent="0.55000000000000004"/>
    <row r="741" ht="14.25" customHeight="1" x14ac:dyDescent="0.55000000000000004"/>
    <row r="742" ht="14.25" customHeight="1" x14ac:dyDescent="0.55000000000000004"/>
    <row r="743" ht="14.25" customHeight="1" x14ac:dyDescent="0.55000000000000004"/>
    <row r="744" ht="14.25" customHeight="1" x14ac:dyDescent="0.55000000000000004"/>
    <row r="745" ht="14.25" customHeight="1" x14ac:dyDescent="0.55000000000000004"/>
    <row r="746" ht="14.25" customHeight="1" x14ac:dyDescent="0.55000000000000004"/>
    <row r="747" ht="14.25" customHeight="1" x14ac:dyDescent="0.55000000000000004"/>
    <row r="748" ht="14.25" customHeight="1" x14ac:dyDescent="0.55000000000000004"/>
    <row r="749" ht="14.25" customHeight="1" x14ac:dyDescent="0.55000000000000004"/>
    <row r="750" ht="14.25" customHeight="1" x14ac:dyDescent="0.55000000000000004"/>
    <row r="751" ht="14.25" customHeight="1" x14ac:dyDescent="0.55000000000000004"/>
    <row r="752" ht="14.25" customHeight="1" x14ac:dyDescent="0.55000000000000004"/>
    <row r="753" ht="14.25" customHeight="1" x14ac:dyDescent="0.55000000000000004"/>
    <row r="754" ht="14.25" customHeight="1" x14ac:dyDescent="0.55000000000000004"/>
    <row r="755" ht="14.25" customHeight="1" x14ac:dyDescent="0.55000000000000004"/>
    <row r="756" ht="14.25" customHeight="1" x14ac:dyDescent="0.55000000000000004"/>
    <row r="757" ht="14.25" customHeight="1" x14ac:dyDescent="0.55000000000000004"/>
    <row r="758" ht="14.25" customHeight="1" x14ac:dyDescent="0.55000000000000004"/>
    <row r="759" ht="14.25" customHeight="1" x14ac:dyDescent="0.55000000000000004"/>
    <row r="760" ht="14.25" customHeight="1" x14ac:dyDescent="0.55000000000000004"/>
    <row r="761" ht="14.25" customHeight="1" x14ac:dyDescent="0.55000000000000004"/>
    <row r="762" ht="14.25" customHeight="1" x14ac:dyDescent="0.55000000000000004"/>
    <row r="763" ht="14.25" customHeight="1" x14ac:dyDescent="0.55000000000000004"/>
    <row r="764" ht="14.25" customHeight="1" x14ac:dyDescent="0.55000000000000004"/>
    <row r="765" ht="14.25" customHeight="1" x14ac:dyDescent="0.55000000000000004"/>
    <row r="766" ht="14.25" customHeight="1" x14ac:dyDescent="0.55000000000000004"/>
    <row r="767" ht="14.25" customHeight="1" x14ac:dyDescent="0.55000000000000004"/>
    <row r="768" ht="14.25" customHeight="1" x14ac:dyDescent="0.55000000000000004"/>
    <row r="769" ht="14.25" customHeight="1" x14ac:dyDescent="0.55000000000000004"/>
    <row r="770" ht="14.25" customHeight="1" x14ac:dyDescent="0.55000000000000004"/>
    <row r="771" ht="14.25" customHeight="1" x14ac:dyDescent="0.55000000000000004"/>
    <row r="772" ht="14.25" customHeight="1" x14ac:dyDescent="0.55000000000000004"/>
    <row r="773" ht="14.25" customHeight="1" x14ac:dyDescent="0.55000000000000004"/>
    <row r="774" ht="14.25" customHeight="1" x14ac:dyDescent="0.55000000000000004"/>
    <row r="775" ht="14.25" customHeight="1" x14ac:dyDescent="0.55000000000000004"/>
    <row r="776" ht="14.25" customHeight="1" x14ac:dyDescent="0.55000000000000004"/>
    <row r="777" ht="14.25" customHeight="1" x14ac:dyDescent="0.55000000000000004"/>
    <row r="778" ht="14.25" customHeight="1" x14ac:dyDescent="0.55000000000000004"/>
    <row r="779" ht="14.25" customHeight="1" x14ac:dyDescent="0.55000000000000004"/>
    <row r="780" ht="14.25" customHeight="1" x14ac:dyDescent="0.55000000000000004"/>
    <row r="781" ht="14.25" customHeight="1" x14ac:dyDescent="0.55000000000000004"/>
    <row r="782" ht="14.25" customHeight="1" x14ac:dyDescent="0.55000000000000004"/>
    <row r="783" ht="14.25" customHeight="1" x14ac:dyDescent="0.55000000000000004"/>
    <row r="784" ht="14.25" customHeight="1" x14ac:dyDescent="0.55000000000000004"/>
    <row r="785" ht="14.25" customHeight="1" x14ac:dyDescent="0.55000000000000004"/>
    <row r="786" ht="14.25" customHeight="1" x14ac:dyDescent="0.55000000000000004"/>
    <row r="787" ht="14.25" customHeight="1" x14ac:dyDescent="0.55000000000000004"/>
    <row r="788" ht="14.25" customHeight="1" x14ac:dyDescent="0.55000000000000004"/>
    <row r="789" ht="14.25" customHeight="1" x14ac:dyDescent="0.55000000000000004"/>
    <row r="790" ht="14.25" customHeight="1" x14ac:dyDescent="0.55000000000000004"/>
    <row r="791" ht="14.25" customHeight="1" x14ac:dyDescent="0.55000000000000004"/>
    <row r="792" ht="14.25" customHeight="1" x14ac:dyDescent="0.55000000000000004"/>
    <row r="793" ht="14.25" customHeight="1" x14ac:dyDescent="0.55000000000000004"/>
    <row r="794" ht="14.25" customHeight="1" x14ac:dyDescent="0.55000000000000004"/>
    <row r="795" ht="14.25" customHeight="1" x14ac:dyDescent="0.55000000000000004"/>
    <row r="796" ht="14.25" customHeight="1" x14ac:dyDescent="0.55000000000000004"/>
    <row r="797" ht="14.25" customHeight="1" x14ac:dyDescent="0.55000000000000004"/>
    <row r="798" ht="14.25" customHeight="1" x14ac:dyDescent="0.55000000000000004"/>
    <row r="799" ht="14.25" customHeight="1" x14ac:dyDescent="0.55000000000000004"/>
    <row r="800" ht="14.25" customHeight="1" x14ac:dyDescent="0.55000000000000004"/>
    <row r="801" ht="14.25" customHeight="1" x14ac:dyDescent="0.55000000000000004"/>
    <row r="802" ht="14.25" customHeight="1" x14ac:dyDescent="0.55000000000000004"/>
    <row r="803" ht="14.25" customHeight="1" x14ac:dyDescent="0.55000000000000004"/>
    <row r="804" ht="14.25" customHeight="1" x14ac:dyDescent="0.55000000000000004"/>
    <row r="805" ht="14.25" customHeight="1" x14ac:dyDescent="0.55000000000000004"/>
    <row r="806" ht="14.25" customHeight="1" x14ac:dyDescent="0.55000000000000004"/>
    <row r="807" ht="14.25" customHeight="1" x14ac:dyDescent="0.55000000000000004"/>
    <row r="808" ht="14.25" customHeight="1" x14ac:dyDescent="0.55000000000000004"/>
    <row r="809" ht="14.25" customHeight="1" x14ac:dyDescent="0.55000000000000004"/>
    <row r="810" ht="14.25" customHeight="1" x14ac:dyDescent="0.55000000000000004"/>
    <row r="811" ht="14.25" customHeight="1" x14ac:dyDescent="0.55000000000000004"/>
    <row r="812" ht="14.25" customHeight="1" x14ac:dyDescent="0.55000000000000004"/>
    <row r="813" ht="14.25" customHeight="1" x14ac:dyDescent="0.55000000000000004"/>
    <row r="814" ht="14.25" customHeight="1" x14ac:dyDescent="0.55000000000000004"/>
    <row r="815" ht="14.25" customHeight="1" x14ac:dyDescent="0.55000000000000004"/>
    <row r="816" ht="14.25" customHeight="1" x14ac:dyDescent="0.55000000000000004"/>
    <row r="817" ht="14.25" customHeight="1" x14ac:dyDescent="0.55000000000000004"/>
    <row r="818" ht="14.25" customHeight="1" x14ac:dyDescent="0.55000000000000004"/>
    <row r="819" ht="14.25" customHeight="1" x14ac:dyDescent="0.55000000000000004"/>
    <row r="820" ht="14.25" customHeight="1" x14ac:dyDescent="0.55000000000000004"/>
    <row r="821" ht="14.25" customHeight="1" x14ac:dyDescent="0.55000000000000004"/>
    <row r="822" ht="14.25" customHeight="1" x14ac:dyDescent="0.55000000000000004"/>
    <row r="823" ht="14.25" customHeight="1" x14ac:dyDescent="0.55000000000000004"/>
    <row r="824" ht="14.25" customHeight="1" x14ac:dyDescent="0.55000000000000004"/>
    <row r="825" ht="14.25" customHeight="1" x14ac:dyDescent="0.55000000000000004"/>
    <row r="826" ht="14.25" customHeight="1" x14ac:dyDescent="0.55000000000000004"/>
    <row r="827" ht="14.25" customHeight="1" x14ac:dyDescent="0.55000000000000004"/>
    <row r="828" ht="14.25" customHeight="1" x14ac:dyDescent="0.55000000000000004"/>
    <row r="829" ht="14.25" customHeight="1" x14ac:dyDescent="0.55000000000000004"/>
    <row r="830" ht="14.25" customHeight="1" x14ac:dyDescent="0.55000000000000004"/>
    <row r="831" ht="14.25" customHeight="1" x14ac:dyDescent="0.55000000000000004"/>
    <row r="832" ht="14.25" customHeight="1" x14ac:dyDescent="0.55000000000000004"/>
    <row r="833" ht="14.25" customHeight="1" x14ac:dyDescent="0.55000000000000004"/>
    <row r="834" ht="14.25" customHeight="1" x14ac:dyDescent="0.55000000000000004"/>
    <row r="835" ht="14.25" customHeight="1" x14ac:dyDescent="0.55000000000000004"/>
    <row r="836" ht="14.25" customHeight="1" x14ac:dyDescent="0.55000000000000004"/>
    <row r="837" ht="14.25" customHeight="1" x14ac:dyDescent="0.55000000000000004"/>
    <row r="838" ht="14.25" customHeight="1" x14ac:dyDescent="0.55000000000000004"/>
    <row r="839" ht="14.25" customHeight="1" x14ac:dyDescent="0.55000000000000004"/>
    <row r="840" ht="14.25" customHeight="1" x14ac:dyDescent="0.55000000000000004"/>
    <row r="841" ht="14.25" customHeight="1" x14ac:dyDescent="0.55000000000000004"/>
    <row r="842" ht="14.25" customHeight="1" x14ac:dyDescent="0.55000000000000004"/>
    <row r="843" ht="14.25" customHeight="1" x14ac:dyDescent="0.55000000000000004"/>
    <row r="844" ht="14.25" customHeight="1" x14ac:dyDescent="0.55000000000000004"/>
    <row r="845" ht="14.25" customHeight="1" x14ac:dyDescent="0.55000000000000004"/>
    <row r="846" ht="14.25" customHeight="1" x14ac:dyDescent="0.55000000000000004"/>
    <row r="847" ht="14.25" customHeight="1" x14ac:dyDescent="0.55000000000000004"/>
    <row r="848" ht="14.25" customHeight="1" x14ac:dyDescent="0.55000000000000004"/>
    <row r="849" ht="14.25" customHeight="1" x14ac:dyDescent="0.55000000000000004"/>
    <row r="850" ht="14.25" customHeight="1" x14ac:dyDescent="0.55000000000000004"/>
    <row r="851" ht="14.25" customHeight="1" x14ac:dyDescent="0.55000000000000004"/>
    <row r="852" ht="14.25" customHeight="1" x14ac:dyDescent="0.55000000000000004"/>
    <row r="853" ht="14.25" customHeight="1" x14ac:dyDescent="0.55000000000000004"/>
    <row r="854" ht="14.25" customHeight="1" x14ac:dyDescent="0.55000000000000004"/>
    <row r="855" ht="14.25" customHeight="1" x14ac:dyDescent="0.55000000000000004"/>
    <row r="856" ht="14.25" customHeight="1" x14ac:dyDescent="0.55000000000000004"/>
    <row r="857" ht="14.25" customHeight="1" x14ac:dyDescent="0.55000000000000004"/>
    <row r="858" ht="14.25" customHeight="1" x14ac:dyDescent="0.55000000000000004"/>
    <row r="859" ht="14.25" customHeight="1" x14ac:dyDescent="0.55000000000000004"/>
    <row r="860" ht="14.25" customHeight="1" x14ac:dyDescent="0.55000000000000004"/>
    <row r="861" ht="14.25" customHeight="1" x14ac:dyDescent="0.55000000000000004"/>
    <row r="862" ht="14.25" customHeight="1" x14ac:dyDescent="0.55000000000000004"/>
    <row r="863" ht="14.25" customHeight="1" x14ac:dyDescent="0.55000000000000004"/>
    <row r="864" ht="14.25" customHeight="1" x14ac:dyDescent="0.55000000000000004"/>
    <row r="865" ht="14.25" customHeight="1" x14ac:dyDescent="0.55000000000000004"/>
    <row r="866" ht="14.25" customHeight="1" x14ac:dyDescent="0.55000000000000004"/>
    <row r="867" ht="14.25" customHeight="1" x14ac:dyDescent="0.55000000000000004"/>
    <row r="868" ht="14.25" customHeight="1" x14ac:dyDescent="0.55000000000000004"/>
    <row r="869" ht="14.25" customHeight="1" x14ac:dyDescent="0.55000000000000004"/>
    <row r="870" ht="14.25" customHeight="1" x14ac:dyDescent="0.55000000000000004"/>
    <row r="871" ht="14.25" customHeight="1" x14ac:dyDescent="0.55000000000000004"/>
    <row r="872" ht="14.25" customHeight="1" x14ac:dyDescent="0.55000000000000004"/>
    <row r="873" ht="14.25" customHeight="1" x14ac:dyDescent="0.55000000000000004"/>
    <row r="874" ht="14.25" customHeight="1" x14ac:dyDescent="0.55000000000000004"/>
    <row r="875" ht="14.25" customHeight="1" x14ac:dyDescent="0.55000000000000004"/>
    <row r="876" ht="14.25" customHeight="1" x14ac:dyDescent="0.55000000000000004"/>
    <row r="877" ht="14.25" customHeight="1" x14ac:dyDescent="0.55000000000000004"/>
    <row r="878" ht="14.25" customHeight="1" x14ac:dyDescent="0.55000000000000004"/>
    <row r="879" ht="14.25" customHeight="1" x14ac:dyDescent="0.55000000000000004"/>
    <row r="880" ht="14.25" customHeight="1" x14ac:dyDescent="0.55000000000000004"/>
    <row r="881" ht="14.25" customHeight="1" x14ac:dyDescent="0.55000000000000004"/>
    <row r="882" ht="14.25" customHeight="1" x14ac:dyDescent="0.55000000000000004"/>
    <row r="883" ht="14.25" customHeight="1" x14ac:dyDescent="0.55000000000000004"/>
    <row r="884" ht="14.25" customHeight="1" x14ac:dyDescent="0.55000000000000004"/>
    <row r="885" ht="14.25" customHeight="1" x14ac:dyDescent="0.55000000000000004"/>
    <row r="886" ht="14.25" customHeight="1" x14ac:dyDescent="0.55000000000000004"/>
    <row r="887" ht="14.25" customHeight="1" x14ac:dyDescent="0.55000000000000004"/>
    <row r="888" ht="14.25" customHeight="1" x14ac:dyDescent="0.55000000000000004"/>
    <row r="889" ht="14.25" customHeight="1" x14ac:dyDescent="0.55000000000000004"/>
    <row r="890" ht="14.25" customHeight="1" x14ac:dyDescent="0.55000000000000004"/>
    <row r="891" ht="14.25" customHeight="1" x14ac:dyDescent="0.55000000000000004"/>
    <row r="892" ht="14.25" customHeight="1" x14ac:dyDescent="0.55000000000000004"/>
    <row r="893" ht="14.25" customHeight="1" x14ac:dyDescent="0.55000000000000004"/>
    <row r="894" ht="14.25" customHeight="1" x14ac:dyDescent="0.55000000000000004"/>
    <row r="895" ht="14.25" customHeight="1" x14ac:dyDescent="0.55000000000000004"/>
    <row r="896" ht="14.25" customHeight="1" x14ac:dyDescent="0.55000000000000004"/>
    <row r="897" ht="14.25" customHeight="1" x14ac:dyDescent="0.55000000000000004"/>
    <row r="898" ht="14.25" customHeight="1" x14ac:dyDescent="0.55000000000000004"/>
    <row r="899" ht="14.25" customHeight="1" x14ac:dyDescent="0.55000000000000004"/>
    <row r="900" ht="14.25" customHeight="1" x14ac:dyDescent="0.55000000000000004"/>
    <row r="901" ht="14.25" customHeight="1" x14ac:dyDescent="0.55000000000000004"/>
    <row r="902" ht="14.25" customHeight="1" x14ac:dyDescent="0.55000000000000004"/>
    <row r="903" ht="14.25" customHeight="1" x14ac:dyDescent="0.55000000000000004"/>
    <row r="904" ht="14.25" customHeight="1" x14ac:dyDescent="0.55000000000000004"/>
    <row r="905" ht="14.25" customHeight="1" x14ac:dyDescent="0.55000000000000004"/>
    <row r="906" ht="14.25" customHeight="1" x14ac:dyDescent="0.55000000000000004"/>
    <row r="907" ht="14.25" customHeight="1" x14ac:dyDescent="0.55000000000000004"/>
    <row r="908" ht="14.25" customHeight="1" x14ac:dyDescent="0.55000000000000004"/>
    <row r="909" ht="14.25" customHeight="1" x14ac:dyDescent="0.55000000000000004"/>
    <row r="910" ht="14.25" customHeight="1" x14ac:dyDescent="0.55000000000000004"/>
    <row r="911" ht="14.25" customHeight="1" x14ac:dyDescent="0.55000000000000004"/>
    <row r="912" ht="14.25" customHeight="1" x14ac:dyDescent="0.55000000000000004"/>
    <row r="913" ht="14.25" customHeight="1" x14ac:dyDescent="0.55000000000000004"/>
    <row r="914" ht="14.25" customHeight="1" x14ac:dyDescent="0.55000000000000004"/>
    <row r="915" ht="14.25" customHeight="1" x14ac:dyDescent="0.55000000000000004"/>
    <row r="916" ht="14.25" customHeight="1" x14ac:dyDescent="0.55000000000000004"/>
    <row r="917" ht="14.25" customHeight="1" x14ac:dyDescent="0.55000000000000004"/>
    <row r="918" ht="14.25" customHeight="1" x14ac:dyDescent="0.55000000000000004"/>
    <row r="919" ht="14.25" customHeight="1" x14ac:dyDescent="0.55000000000000004"/>
    <row r="920" ht="14.25" customHeight="1" x14ac:dyDescent="0.55000000000000004"/>
    <row r="921" ht="14.25" customHeight="1" x14ac:dyDescent="0.55000000000000004"/>
    <row r="922" ht="14.25" customHeight="1" x14ac:dyDescent="0.55000000000000004"/>
    <row r="923" ht="14.25" customHeight="1" x14ac:dyDescent="0.55000000000000004"/>
    <row r="924" ht="14.25" customHeight="1" x14ac:dyDescent="0.55000000000000004"/>
    <row r="925" ht="14.25" customHeight="1" x14ac:dyDescent="0.55000000000000004"/>
    <row r="926" ht="14.25" customHeight="1" x14ac:dyDescent="0.55000000000000004"/>
    <row r="927" ht="14.25" customHeight="1" x14ac:dyDescent="0.55000000000000004"/>
    <row r="928" ht="14.25" customHeight="1" x14ac:dyDescent="0.55000000000000004"/>
    <row r="929" ht="14.25" customHeight="1" x14ac:dyDescent="0.55000000000000004"/>
    <row r="930" ht="14.25" customHeight="1" x14ac:dyDescent="0.55000000000000004"/>
    <row r="931" ht="14.25" customHeight="1" x14ac:dyDescent="0.55000000000000004"/>
    <row r="932" ht="14.25" customHeight="1" x14ac:dyDescent="0.55000000000000004"/>
    <row r="933" ht="14.25" customHeight="1" x14ac:dyDescent="0.55000000000000004"/>
    <row r="934" ht="14.25" customHeight="1" x14ac:dyDescent="0.55000000000000004"/>
    <row r="935" ht="14.25" customHeight="1" x14ac:dyDescent="0.55000000000000004"/>
    <row r="936" ht="14.25" customHeight="1" x14ac:dyDescent="0.55000000000000004"/>
    <row r="937" ht="14.25" customHeight="1" x14ac:dyDescent="0.55000000000000004"/>
    <row r="938" ht="14.25" customHeight="1" x14ac:dyDescent="0.55000000000000004"/>
    <row r="939" ht="14.25" customHeight="1" x14ac:dyDescent="0.55000000000000004"/>
    <row r="940" ht="14.25" customHeight="1" x14ac:dyDescent="0.55000000000000004"/>
    <row r="941" ht="14.25" customHeight="1" x14ac:dyDescent="0.55000000000000004"/>
    <row r="942" ht="14.25" customHeight="1" x14ac:dyDescent="0.55000000000000004"/>
    <row r="943" ht="14.25" customHeight="1" x14ac:dyDescent="0.55000000000000004"/>
    <row r="944" ht="14.25" customHeight="1" x14ac:dyDescent="0.55000000000000004"/>
    <row r="945" ht="14.25" customHeight="1" x14ac:dyDescent="0.55000000000000004"/>
    <row r="946" ht="14.25" customHeight="1" x14ac:dyDescent="0.55000000000000004"/>
    <row r="947" ht="14.25" customHeight="1" x14ac:dyDescent="0.55000000000000004"/>
    <row r="948" ht="14.25" customHeight="1" x14ac:dyDescent="0.55000000000000004"/>
    <row r="949" ht="14.25" customHeight="1" x14ac:dyDescent="0.55000000000000004"/>
    <row r="950" ht="14.25" customHeight="1" x14ac:dyDescent="0.55000000000000004"/>
    <row r="951" ht="14.25" customHeight="1" x14ac:dyDescent="0.55000000000000004"/>
    <row r="952" ht="14.25" customHeight="1" x14ac:dyDescent="0.55000000000000004"/>
    <row r="953" ht="14.25" customHeight="1" x14ac:dyDescent="0.55000000000000004"/>
    <row r="954" ht="14.25" customHeight="1" x14ac:dyDescent="0.55000000000000004"/>
    <row r="955" ht="14.25" customHeight="1" x14ac:dyDescent="0.55000000000000004"/>
    <row r="956" ht="14.25" customHeight="1" x14ac:dyDescent="0.55000000000000004"/>
    <row r="957" ht="14.25" customHeight="1" x14ac:dyDescent="0.55000000000000004"/>
    <row r="958" ht="14.25" customHeight="1" x14ac:dyDescent="0.55000000000000004"/>
    <row r="959" ht="14.25" customHeight="1" x14ac:dyDescent="0.55000000000000004"/>
    <row r="960" ht="14.25" customHeight="1" x14ac:dyDescent="0.55000000000000004"/>
    <row r="961" ht="14.25" customHeight="1" x14ac:dyDescent="0.55000000000000004"/>
    <row r="962" ht="14.25" customHeight="1" x14ac:dyDescent="0.55000000000000004"/>
    <row r="963" ht="14.25" customHeight="1" x14ac:dyDescent="0.55000000000000004"/>
    <row r="964" ht="14.25" customHeight="1" x14ac:dyDescent="0.55000000000000004"/>
    <row r="965" ht="14.25" customHeight="1" x14ac:dyDescent="0.55000000000000004"/>
    <row r="966" ht="14.25" customHeight="1" x14ac:dyDescent="0.55000000000000004"/>
    <row r="967" ht="14.25" customHeight="1" x14ac:dyDescent="0.55000000000000004"/>
    <row r="968" ht="14.25" customHeight="1" x14ac:dyDescent="0.55000000000000004"/>
    <row r="969" ht="14.25" customHeight="1" x14ac:dyDescent="0.55000000000000004"/>
    <row r="970" ht="14.25" customHeight="1" x14ac:dyDescent="0.55000000000000004"/>
    <row r="971" ht="14.25" customHeight="1" x14ac:dyDescent="0.55000000000000004"/>
    <row r="972" ht="14.25" customHeight="1" x14ac:dyDescent="0.55000000000000004"/>
    <row r="973" ht="14.25" customHeight="1" x14ac:dyDescent="0.55000000000000004"/>
    <row r="974" ht="14.25" customHeight="1" x14ac:dyDescent="0.55000000000000004"/>
    <row r="975" ht="14.25" customHeight="1" x14ac:dyDescent="0.55000000000000004"/>
    <row r="976" ht="14.25" customHeight="1" x14ac:dyDescent="0.55000000000000004"/>
    <row r="977" ht="14.25" customHeight="1" x14ac:dyDescent="0.55000000000000004"/>
    <row r="978" ht="14.25" customHeight="1" x14ac:dyDescent="0.55000000000000004"/>
    <row r="979" ht="14.25" customHeight="1" x14ac:dyDescent="0.55000000000000004"/>
    <row r="980" ht="14.25" customHeight="1" x14ac:dyDescent="0.55000000000000004"/>
    <row r="981" ht="14.25" customHeight="1" x14ac:dyDescent="0.55000000000000004"/>
    <row r="982" ht="14.25" customHeight="1" x14ac:dyDescent="0.55000000000000004"/>
    <row r="983" ht="14.25" customHeight="1" x14ac:dyDescent="0.55000000000000004"/>
    <row r="984" ht="14.25" customHeight="1" x14ac:dyDescent="0.55000000000000004"/>
    <row r="985" ht="14.25" customHeight="1" x14ac:dyDescent="0.55000000000000004"/>
    <row r="986" ht="14.25" customHeight="1" x14ac:dyDescent="0.55000000000000004"/>
    <row r="987" ht="14.25" customHeight="1" x14ac:dyDescent="0.55000000000000004"/>
    <row r="988" ht="14.25" customHeight="1" x14ac:dyDescent="0.55000000000000004"/>
    <row r="989" ht="14.25" customHeight="1" x14ac:dyDescent="0.55000000000000004"/>
    <row r="990" ht="14.25" customHeight="1" x14ac:dyDescent="0.55000000000000004"/>
    <row r="991" ht="14.25" customHeight="1" x14ac:dyDescent="0.55000000000000004"/>
    <row r="992" ht="14.25" customHeight="1" x14ac:dyDescent="0.55000000000000004"/>
    <row r="993" ht="14.25" customHeight="1" x14ac:dyDescent="0.55000000000000004"/>
    <row r="994" ht="14.25" customHeight="1" x14ac:dyDescent="0.55000000000000004"/>
    <row r="995" ht="14.25" customHeight="1" x14ac:dyDescent="0.55000000000000004"/>
    <row r="996" ht="14.25" customHeight="1" x14ac:dyDescent="0.55000000000000004"/>
    <row r="997" ht="14.25" customHeight="1" x14ac:dyDescent="0.55000000000000004"/>
    <row r="998" ht="14.25" customHeight="1" x14ac:dyDescent="0.55000000000000004"/>
    <row r="999" ht="14.25" customHeight="1" x14ac:dyDescent="0.55000000000000004"/>
    <row r="1000" ht="14.25" customHeight="1" x14ac:dyDescent="0.55000000000000004"/>
    <row r="1001" ht="14.25" customHeight="1" x14ac:dyDescent="0.55000000000000004"/>
  </sheetData>
  <dataValidations count="1">
    <dataValidation type="list" allowBlank="1" showErrorMessage="1" sqref="B2:B35" xr:uid="{00000000-0002-0000-0000-000000000000}">
      <formula1>$D$3:$D$9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xSplit="3" ySplit="3" topLeftCell="K4" activePane="bottomRight" state="frozen"/>
      <selection pane="topRight" activeCell="D1" sqref="D1"/>
      <selection pane="bottomLeft" activeCell="A4" sqref="A4"/>
      <selection pane="bottomRight" activeCell="D2" sqref="D2:X2"/>
    </sheetView>
  </sheetViews>
  <sheetFormatPr defaultColWidth="12.62890625" defaultRowHeight="15" customHeight="1" x14ac:dyDescent="0.55000000000000004"/>
  <cols>
    <col min="1" max="1" width="10.1015625" customWidth="1"/>
    <col min="3" max="3" width="13.3671875" customWidth="1"/>
    <col min="4" max="23" width="8.89453125" customWidth="1"/>
    <col min="24" max="26" width="8.62890625" customWidth="1"/>
  </cols>
  <sheetData>
    <row r="1" spans="1:26" ht="38.700000000000003" customHeight="1" x14ac:dyDescent="0.55000000000000004">
      <c r="A1" s="8"/>
      <c r="B1" s="9" t="s">
        <v>46</v>
      </c>
      <c r="C1" s="10" t="s">
        <v>47</v>
      </c>
      <c r="D1" s="8" t="str">
        <f>_xlfn.XLOOKUP(D$3, personalist!$A:$A, personalist!$B:$B, NA())</f>
        <v>Remote senior</v>
      </c>
      <c r="E1" s="8" t="str">
        <f>_xlfn.XLOOKUP(E$3, personalist!$A:$A, personalist!$B:$B, NA())</f>
        <v>Remote senior</v>
      </c>
      <c r="F1" s="8" t="str">
        <f>_xlfn.XLOOKUP(F$3, personalist!$A:$A, personalist!$B:$B, NA())</f>
        <v>Remote senior</v>
      </c>
      <c r="G1" s="8" t="str">
        <f>_xlfn.XLOOKUP(G$3, personalist!$A:$A, personalist!$B:$B, NA())</f>
        <v>Remote senior</v>
      </c>
      <c r="H1" s="8" t="str">
        <f>_xlfn.XLOOKUP(H$3, personalist!$A:$A, personalist!$B:$B, NA())</f>
        <v>Remote mid engineer</v>
      </c>
      <c r="I1" s="8" t="str">
        <f>_xlfn.XLOOKUP(I$3, personalist!$A:$A, personalist!$B:$B, NA())</f>
        <v>Remote mid engineer</v>
      </c>
      <c r="J1" s="8" t="str">
        <f>_xlfn.XLOOKUP(J$3, personalist!$A:$A, personalist!$B:$B, NA())</f>
        <v>Remote mid engineer</v>
      </c>
      <c r="K1" s="8" t="str">
        <f>_xlfn.XLOOKUP(K$3, personalist!$A:$A, personalist!$B:$B, NA())</f>
        <v>Remote senior</v>
      </c>
      <c r="L1" s="8" t="str">
        <f>_xlfn.XLOOKUP(L$3, personalist!$A:$A, personalist!$B:$B, NA())</f>
        <v>Manager/senior Engineer</v>
      </c>
      <c r="M1" s="8" t="str">
        <f>_xlfn.XLOOKUP(M$3, personalist!$A:$A, personalist!$B:$B, NA())</f>
        <v>Manager/senior Engineer</v>
      </c>
      <c r="N1" s="8" t="str">
        <f>_xlfn.XLOOKUP(N$3, personalist!$A:$A, personalist!$B:$B, NA())</f>
        <v>Engineer/supervisor</v>
      </c>
      <c r="O1" s="8" t="str">
        <f>_xlfn.XLOOKUP(O$3, personalist!$A:$A, personalist!$B:$B, NA())</f>
        <v>Welder</v>
      </c>
      <c r="P1" s="8" t="str">
        <f>_xlfn.XLOOKUP(P$3, personalist!$A:$A, personalist!$B:$B, NA())</f>
        <v>Engineer/supervisor</v>
      </c>
      <c r="Q1" s="8" t="str">
        <f>_xlfn.XLOOKUP(Q$3, personalist!$A:$A, personalist!$B:$B, NA())</f>
        <v>Technician II</v>
      </c>
      <c r="R1" s="8" t="str">
        <f>_xlfn.XLOOKUP(R$3, personalist!$A:$A, personalist!$B:$B, NA())</f>
        <v>Welder</v>
      </c>
      <c r="S1" s="8" t="str">
        <f>_xlfn.XLOOKUP(S$3, personalist!$A:$A, personalist!$B:$B, NA())</f>
        <v>Engineer/supervisor</v>
      </c>
      <c r="T1" s="8" t="str">
        <f>_xlfn.XLOOKUP(T$3, personalist!$A:$A, personalist!$B:$B, NA())</f>
        <v>Engineer/supervisor</v>
      </c>
      <c r="U1" s="8" t="str">
        <f>_xlfn.XLOOKUP(U$3, personalist!$A:$A, personalist!$B:$B, NA())</f>
        <v>Welder</v>
      </c>
      <c r="V1" s="8" t="str">
        <f>_xlfn.XLOOKUP(V$3, personalist!$A:$A, personalist!$B:$B, NA())</f>
        <v>Welder</v>
      </c>
      <c r="W1" s="8" t="str">
        <f>_xlfn.XLOOKUP(W$3, personalist!$A:$A, personalist!$B:$B, NA())</f>
        <v>Technician II</v>
      </c>
      <c r="X1" s="8" t="str">
        <f>_xlfn.XLOOKUP(X$3, personalist!$A:$A, personalist!$B:$B, NA())</f>
        <v>Technician II</v>
      </c>
      <c r="Y1" s="8"/>
      <c r="Z1" s="8"/>
    </row>
    <row r="2" spans="1:26" ht="38.700000000000003" customHeight="1" x14ac:dyDescent="0.55000000000000004">
      <c r="A2" s="8" t="s">
        <v>48</v>
      </c>
      <c r="B2" s="8"/>
      <c r="C2" s="8"/>
      <c r="D2" s="12">
        <f>_xlfn.XLOOKUP(D$3, personalist!$A:$A, personalist!$C:$C, NA())</f>
        <v>671</v>
      </c>
      <c r="E2" s="12">
        <f>_xlfn.XLOOKUP(E$3, personalist!$A:$A, personalist!$C:$C, NA())</f>
        <v>671</v>
      </c>
      <c r="F2" s="12">
        <f>_xlfn.XLOOKUP(F$3, personalist!$A:$A, personalist!$C:$C, NA())</f>
        <v>671</v>
      </c>
      <c r="G2" s="12">
        <f>_xlfn.XLOOKUP(G$3, personalist!$A:$A, personalist!$C:$C, NA())</f>
        <v>671</v>
      </c>
      <c r="H2" s="12">
        <f>_xlfn.XLOOKUP(H$3, personalist!$A:$A, personalist!$C:$C, NA())</f>
        <v>536</v>
      </c>
      <c r="I2" s="12">
        <f>_xlfn.XLOOKUP(I$3, personalist!$A:$A, personalist!$C:$C, NA())</f>
        <v>536</v>
      </c>
      <c r="J2" s="12">
        <f>_xlfn.XLOOKUP(J$3, personalist!$A:$A, personalist!$C:$C, NA())</f>
        <v>536</v>
      </c>
      <c r="K2" s="12">
        <f>_xlfn.XLOOKUP(K$3, personalist!$A:$A, personalist!$C:$C, NA())</f>
        <v>671</v>
      </c>
      <c r="L2" s="12">
        <f>_xlfn.XLOOKUP(L$3, personalist!$A:$A, personalist!$C:$C, NA())</f>
        <v>671</v>
      </c>
      <c r="M2" s="12">
        <f>_xlfn.XLOOKUP(M$3, personalist!$A:$A, personalist!$C:$C, NA())</f>
        <v>671</v>
      </c>
      <c r="N2" s="12">
        <f>_xlfn.XLOOKUP(N$3, personalist!$A:$A, personalist!$C:$C, NA())</f>
        <v>536</v>
      </c>
      <c r="O2" s="12">
        <f>_xlfn.XLOOKUP(O$3, personalist!$A:$A, personalist!$C:$C, NA())</f>
        <v>469</v>
      </c>
      <c r="P2" s="12">
        <f>_xlfn.XLOOKUP(P$3, personalist!$A:$A, personalist!$C:$C, NA())</f>
        <v>536</v>
      </c>
      <c r="Q2" s="12">
        <f>_xlfn.XLOOKUP(Q$3, personalist!$A:$A, personalist!$C:$C, NA())</f>
        <v>456</v>
      </c>
      <c r="R2" s="12">
        <f>_xlfn.XLOOKUP(R$3, personalist!$A:$A, personalist!$C:$C, NA())</f>
        <v>469</v>
      </c>
      <c r="S2" s="12">
        <f>_xlfn.XLOOKUP(S$3, personalist!$A:$A, personalist!$C:$C, NA())</f>
        <v>536</v>
      </c>
      <c r="T2" s="12">
        <f>_xlfn.XLOOKUP(T$3, personalist!$A:$A, personalist!$C:$C, NA())</f>
        <v>536</v>
      </c>
      <c r="U2" s="12">
        <f>_xlfn.XLOOKUP(U$3, personalist!$A:$A, personalist!$C:$C, NA())</f>
        <v>469</v>
      </c>
      <c r="V2" s="12">
        <f>_xlfn.XLOOKUP(V$3, personalist!$A:$A, personalist!$C:$C, NA())</f>
        <v>469</v>
      </c>
      <c r="W2" s="12">
        <f>_xlfn.XLOOKUP(W$3, personalist!$A:$A, personalist!$C:$C, NA())</f>
        <v>456</v>
      </c>
      <c r="X2" s="12">
        <f>_xlfn.XLOOKUP(X$3, personalist!$A:$A, personalist!$C:$C, NA())</f>
        <v>456</v>
      </c>
      <c r="Y2" s="11"/>
      <c r="Z2" s="11"/>
    </row>
    <row r="3" spans="1:26" ht="38.700000000000003" customHeight="1" x14ac:dyDescent="0.55000000000000004">
      <c r="A3" s="13" t="s">
        <v>49</v>
      </c>
      <c r="B3" s="13" t="s">
        <v>50</v>
      </c>
      <c r="C3" s="13" t="s">
        <v>51</v>
      </c>
      <c r="D3" s="8" t="s">
        <v>20</v>
      </c>
      <c r="E3" s="8" t="s">
        <v>29</v>
      </c>
      <c r="F3" s="8" t="s">
        <v>26</v>
      </c>
      <c r="G3" s="8" t="s">
        <v>30</v>
      </c>
      <c r="H3" s="8" t="s">
        <v>24</v>
      </c>
      <c r="I3" s="8" t="s">
        <v>34</v>
      </c>
      <c r="J3" s="8" t="s">
        <v>39</v>
      </c>
      <c r="K3" s="8" t="s">
        <v>7</v>
      </c>
      <c r="L3" s="8" t="s">
        <v>16</v>
      </c>
      <c r="M3" s="8" t="s">
        <v>32</v>
      </c>
      <c r="N3" s="8" t="s">
        <v>17</v>
      </c>
      <c r="O3" s="8" t="s">
        <v>33</v>
      </c>
      <c r="P3" s="8" t="s">
        <v>10</v>
      </c>
      <c r="Q3" s="8" t="s">
        <v>37</v>
      </c>
      <c r="R3" s="8" t="s">
        <v>35</v>
      </c>
      <c r="S3" s="14" t="s">
        <v>44</v>
      </c>
      <c r="T3" s="14" t="s">
        <v>38</v>
      </c>
      <c r="U3" s="14" t="s">
        <v>45</v>
      </c>
      <c r="V3" s="8" t="s">
        <v>40</v>
      </c>
      <c r="W3" s="14" t="s">
        <v>15</v>
      </c>
      <c r="X3" s="14" t="s">
        <v>25</v>
      </c>
      <c r="Y3" s="11"/>
      <c r="Z3" s="11"/>
    </row>
    <row r="4" spans="1:26" ht="14.25" customHeight="1" x14ac:dyDescent="0.55000000000000004">
      <c r="A4" s="15">
        <v>1</v>
      </c>
      <c r="B4" s="16">
        <v>45754</v>
      </c>
      <c r="C4" s="16">
        <f t="shared" ref="C4:C71" si="0">B4+6</f>
        <v>45760</v>
      </c>
      <c r="D4" s="15"/>
      <c r="E4" s="15"/>
      <c r="F4" s="15"/>
      <c r="G4" s="15">
        <v>60</v>
      </c>
      <c r="H4" s="15">
        <v>80</v>
      </c>
      <c r="I4" s="15"/>
      <c r="J4" s="15">
        <v>40</v>
      </c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</row>
    <row r="5" spans="1:26" ht="14.25" customHeight="1" x14ac:dyDescent="0.55000000000000004">
      <c r="A5" s="15">
        <v>2</v>
      </c>
      <c r="B5" s="16">
        <f t="shared" ref="B5:B71" si="1">B4+7</f>
        <v>45761</v>
      </c>
      <c r="C5" s="16">
        <f t="shared" si="0"/>
        <v>45767</v>
      </c>
      <c r="D5" s="15"/>
      <c r="E5" s="15"/>
      <c r="F5" s="15"/>
      <c r="G5" s="15"/>
      <c r="H5" s="15">
        <v>20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</row>
    <row r="6" spans="1:26" ht="14.25" customHeight="1" x14ac:dyDescent="0.55000000000000004">
      <c r="A6" s="15">
        <v>3</v>
      </c>
      <c r="B6" s="16">
        <f t="shared" si="1"/>
        <v>45768</v>
      </c>
      <c r="C6" s="16">
        <f t="shared" si="0"/>
        <v>45774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</row>
    <row r="7" spans="1:26" ht="14.25" customHeight="1" x14ac:dyDescent="0.55000000000000004">
      <c r="A7" s="15">
        <v>4</v>
      </c>
      <c r="B7" s="16">
        <f t="shared" si="1"/>
        <v>45775</v>
      </c>
      <c r="C7" s="16">
        <f t="shared" si="0"/>
        <v>45781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</row>
    <row r="8" spans="1:26" ht="14.25" customHeight="1" x14ac:dyDescent="0.55000000000000004">
      <c r="A8" s="15">
        <v>5</v>
      </c>
      <c r="B8" s="16">
        <f t="shared" si="1"/>
        <v>45782</v>
      </c>
      <c r="C8" s="16">
        <f t="shared" si="0"/>
        <v>45788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  <row r="9" spans="1:26" ht="14.25" customHeight="1" x14ac:dyDescent="0.55000000000000004">
      <c r="A9" s="15">
        <v>6</v>
      </c>
      <c r="B9" s="16">
        <f t="shared" si="1"/>
        <v>45789</v>
      </c>
      <c r="C9" s="16">
        <f t="shared" si="0"/>
        <v>45795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</row>
    <row r="10" spans="1:26" ht="14.25" customHeight="1" x14ac:dyDescent="0.55000000000000004">
      <c r="A10" s="15">
        <v>7</v>
      </c>
      <c r="B10" s="16">
        <f t="shared" si="1"/>
        <v>45796</v>
      </c>
      <c r="C10" s="16">
        <f t="shared" si="0"/>
        <v>45802</v>
      </c>
      <c r="D10" s="15"/>
      <c r="E10" s="15"/>
      <c r="F10" s="15"/>
      <c r="G10" s="15">
        <v>10</v>
      </c>
      <c r="H10" s="15">
        <v>30</v>
      </c>
      <c r="I10" s="15"/>
      <c r="J10" s="15">
        <v>8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</row>
    <row r="11" spans="1:26" ht="14.25" customHeight="1" x14ac:dyDescent="0.55000000000000004">
      <c r="A11" s="15">
        <v>8</v>
      </c>
      <c r="B11" s="16">
        <f t="shared" si="1"/>
        <v>45803</v>
      </c>
      <c r="C11" s="16">
        <f t="shared" si="0"/>
        <v>45809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</row>
    <row r="12" spans="1:26" ht="14.25" customHeight="1" x14ac:dyDescent="0.55000000000000004">
      <c r="A12" s="15">
        <v>9</v>
      </c>
      <c r="B12" s="16">
        <f t="shared" si="1"/>
        <v>45810</v>
      </c>
      <c r="C12" s="16">
        <f t="shared" si="0"/>
        <v>45816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</row>
    <row r="13" spans="1:26" ht="14.25" customHeight="1" x14ac:dyDescent="0.55000000000000004">
      <c r="A13" s="15">
        <v>10</v>
      </c>
      <c r="B13" s="16">
        <f t="shared" si="1"/>
        <v>45817</v>
      </c>
      <c r="C13" s="16">
        <f t="shared" si="0"/>
        <v>45823</v>
      </c>
      <c r="D13" s="15"/>
      <c r="E13" s="15"/>
      <c r="F13" s="15"/>
      <c r="G13" s="15">
        <v>10</v>
      </c>
      <c r="H13" s="15">
        <v>20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</row>
    <row r="14" spans="1:26" ht="14.25" customHeight="1" x14ac:dyDescent="0.55000000000000004">
      <c r="A14" s="15">
        <v>11</v>
      </c>
      <c r="B14" s="16">
        <f t="shared" si="1"/>
        <v>45824</v>
      </c>
      <c r="C14" s="16">
        <f t="shared" si="0"/>
        <v>45830</v>
      </c>
      <c r="D14" s="15"/>
      <c r="E14" s="15"/>
      <c r="F14" s="15"/>
      <c r="G14" s="15"/>
      <c r="H14" s="15">
        <v>20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</row>
    <row r="15" spans="1:26" ht="14.25" customHeight="1" x14ac:dyDescent="0.55000000000000004">
      <c r="A15" s="15">
        <v>12</v>
      </c>
      <c r="B15" s="16">
        <f t="shared" si="1"/>
        <v>45831</v>
      </c>
      <c r="C15" s="16">
        <f t="shared" si="0"/>
        <v>45837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</row>
    <row r="16" spans="1:26" ht="14.25" customHeight="1" x14ac:dyDescent="0.55000000000000004">
      <c r="A16" s="15">
        <v>13</v>
      </c>
      <c r="B16" s="16">
        <f t="shared" si="1"/>
        <v>45838</v>
      </c>
      <c r="C16" s="16">
        <f t="shared" si="0"/>
        <v>45844</v>
      </c>
      <c r="D16" s="15"/>
      <c r="E16" s="15"/>
      <c r="F16" s="15"/>
      <c r="G16" s="15">
        <v>10</v>
      </c>
      <c r="H16" s="15">
        <v>20</v>
      </c>
      <c r="I16" s="15"/>
      <c r="J16" s="15"/>
      <c r="K16" s="15"/>
      <c r="L16" s="15"/>
      <c r="M16" s="15"/>
      <c r="N16" s="15"/>
      <c r="O16" s="15"/>
      <c r="P16" s="15">
        <v>32</v>
      </c>
      <c r="Q16" s="15"/>
      <c r="R16" s="15"/>
      <c r="S16" s="15"/>
      <c r="T16" s="15"/>
      <c r="U16" s="15"/>
      <c r="V16" s="15"/>
      <c r="W16" s="15"/>
      <c r="X16" s="15"/>
    </row>
    <row r="17" spans="1:24" ht="14.25" customHeight="1" x14ac:dyDescent="0.55000000000000004">
      <c r="A17" s="15">
        <v>14</v>
      </c>
      <c r="B17" s="16">
        <f t="shared" si="1"/>
        <v>45845</v>
      </c>
      <c r="C17" s="16">
        <f t="shared" si="0"/>
        <v>45851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>
        <v>40</v>
      </c>
      <c r="Q17" s="15">
        <v>8</v>
      </c>
      <c r="R17" s="15">
        <v>8</v>
      </c>
      <c r="S17" s="15"/>
      <c r="T17" s="15"/>
      <c r="U17" s="15"/>
      <c r="V17" s="15"/>
      <c r="W17" s="15"/>
      <c r="X17" s="15"/>
    </row>
    <row r="18" spans="1:24" ht="14.25" customHeight="1" x14ac:dyDescent="0.55000000000000004">
      <c r="A18" s="15">
        <v>15</v>
      </c>
      <c r="B18" s="16">
        <f t="shared" si="1"/>
        <v>45852</v>
      </c>
      <c r="C18" s="16">
        <f t="shared" si="0"/>
        <v>45858</v>
      </c>
      <c r="D18" s="15"/>
      <c r="E18" s="15"/>
      <c r="F18" s="15"/>
      <c r="G18" s="15"/>
      <c r="H18" s="15">
        <v>16</v>
      </c>
      <c r="I18" s="15"/>
      <c r="J18" s="15"/>
      <c r="K18" s="15"/>
      <c r="L18" s="15"/>
      <c r="M18" s="15"/>
      <c r="N18" s="15"/>
      <c r="O18" s="15"/>
      <c r="P18" s="15">
        <v>40</v>
      </c>
      <c r="Q18" s="15">
        <v>40</v>
      </c>
      <c r="R18" s="15">
        <v>40</v>
      </c>
      <c r="S18" s="15"/>
      <c r="T18" s="15"/>
      <c r="U18" s="15"/>
      <c r="V18" s="15"/>
      <c r="W18" s="15"/>
      <c r="X18" s="15"/>
    </row>
    <row r="19" spans="1:24" ht="14.25" customHeight="1" x14ac:dyDescent="0.55000000000000004">
      <c r="A19" s="15">
        <v>16</v>
      </c>
      <c r="B19" s="16">
        <f t="shared" si="1"/>
        <v>45859</v>
      </c>
      <c r="C19" s="16">
        <f t="shared" si="0"/>
        <v>45865</v>
      </c>
      <c r="D19" s="15"/>
      <c r="E19" s="15"/>
      <c r="F19" s="15"/>
      <c r="G19" s="15"/>
      <c r="H19" s="15"/>
      <c r="I19" s="15"/>
      <c r="J19" s="15"/>
      <c r="K19" s="15"/>
      <c r="L19" s="15"/>
      <c r="M19" s="15">
        <v>16</v>
      </c>
      <c r="N19" s="15"/>
      <c r="O19" s="15"/>
      <c r="P19" s="15">
        <v>40</v>
      </c>
      <c r="Q19" s="15">
        <v>40</v>
      </c>
      <c r="R19" s="15">
        <v>40</v>
      </c>
      <c r="S19" s="15"/>
      <c r="T19" s="15"/>
      <c r="U19" s="15"/>
      <c r="V19" s="15"/>
      <c r="W19" s="15"/>
      <c r="X19" s="15"/>
    </row>
    <row r="20" spans="1:24" ht="14.25" customHeight="1" x14ac:dyDescent="0.55000000000000004">
      <c r="A20" s="15">
        <v>17</v>
      </c>
      <c r="B20" s="16">
        <f t="shared" si="1"/>
        <v>45866</v>
      </c>
      <c r="C20" s="16">
        <f t="shared" si="0"/>
        <v>45872</v>
      </c>
      <c r="D20" s="15"/>
      <c r="E20" s="15"/>
      <c r="F20" s="15"/>
      <c r="G20" s="15"/>
      <c r="H20" s="15"/>
      <c r="I20" s="15"/>
      <c r="J20" s="15"/>
      <c r="K20" s="15"/>
      <c r="L20" s="15"/>
      <c r="M20" s="15">
        <v>32</v>
      </c>
      <c r="N20" s="15"/>
      <c r="O20" s="15"/>
      <c r="P20" s="15">
        <v>40</v>
      </c>
      <c r="Q20" s="15">
        <v>40</v>
      </c>
      <c r="R20" s="15">
        <v>40</v>
      </c>
      <c r="S20" s="15"/>
      <c r="T20" s="15"/>
      <c r="U20" s="15"/>
      <c r="V20" s="15"/>
      <c r="W20" s="15"/>
      <c r="X20" s="15"/>
    </row>
    <row r="21" spans="1:24" ht="14.25" customHeight="1" x14ac:dyDescent="0.55000000000000004">
      <c r="A21" s="15">
        <v>18</v>
      </c>
      <c r="B21" s="16">
        <f t="shared" si="1"/>
        <v>45873</v>
      </c>
      <c r="C21" s="16">
        <f t="shared" si="0"/>
        <v>45879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>
        <v>40</v>
      </c>
      <c r="Q21" s="15">
        <v>40</v>
      </c>
      <c r="R21" s="15">
        <v>40</v>
      </c>
      <c r="S21" s="15">
        <v>40</v>
      </c>
      <c r="T21" s="15"/>
      <c r="U21" s="15"/>
      <c r="V21" s="15"/>
      <c r="W21" s="15"/>
      <c r="X21" s="15"/>
    </row>
    <row r="22" spans="1:24" ht="14.25" customHeight="1" x14ac:dyDescent="0.55000000000000004">
      <c r="A22" s="15">
        <v>19</v>
      </c>
      <c r="B22" s="16">
        <f t="shared" si="1"/>
        <v>45880</v>
      </c>
      <c r="C22" s="16">
        <f t="shared" si="0"/>
        <v>45886</v>
      </c>
      <c r="D22" s="15"/>
      <c r="E22" s="15"/>
      <c r="F22" s="15"/>
      <c r="G22" s="15"/>
      <c r="H22" s="15"/>
      <c r="I22" s="15"/>
      <c r="J22" s="15"/>
      <c r="K22" s="15"/>
      <c r="L22" s="15"/>
      <c r="M22" s="15">
        <v>40</v>
      </c>
      <c r="N22" s="15"/>
      <c r="O22" s="15"/>
      <c r="P22" s="15">
        <v>40</v>
      </c>
      <c r="Q22" s="15">
        <v>40</v>
      </c>
      <c r="R22" s="15">
        <v>40</v>
      </c>
      <c r="S22" s="15">
        <v>40</v>
      </c>
      <c r="T22" s="15"/>
      <c r="U22" s="15"/>
      <c r="V22" s="15"/>
      <c r="W22" s="15"/>
      <c r="X22" s="15"/>
    </row>
    <row r="23" spans="1:24" ht="14.25" customHeight="1" x14ac:dyDescent="0.55000000000000004">
      <c r="A23" s="15">
        <v>20</v>
      </c>
      <c r="B23" s="16">
        <f t="shared" si="1"/>
        <v>45887</v>
      </c>
      <c r="C23" s="16">
        <f t="shared" si="0"/>
        <v>45893</v>
      </c>
      <c r="D23" s="15"/>
      <c r="E23" s="15"/>
      <c r="F23" s="15"/>
      <c r="G23" s="15"/>
      <c r="H23" s="15"/>
      <c r="I23" s="15"/>
      <c r="J23" s="15"/>
      <c r="K23" s="15"/>
      <c r="L23" s="15"/>
      <c r="M23" s="15">
        <v>40</v>
      </c>
      <c r="N23" s="15"/>
      <c r="O23" s="15"/>
      <c r="P23" s="15">
        <v>40</v>
      </c>
      <c r="Q23" s="15">
        <v>40</v>
      </c>
      <c r="R23" s="15">
        <v>40</v>
      </c>
      <c r="S23" s="15">
        <v>40</v>
      </c>
      <c r="T23" s="15"/>
      <c r="U23" s="15"/>
      <c r="V23" s="15"/>
      <c r="W23" s="15"/>
      <c r="X23" s="15"/>
    </row>
    <row r="24" spans="1:24" ht="14.25" customHeight="1" x14ac:dyDescent="0.55000000000000004">
      <c r="A24" s="15">
        <v>21</v>
      </c>
      <c r="B24" s="16">
        <f t="shared" si="1"/>
        <v>45894</v>
      </c>
      <c r="C24" s="16">
        <f t="shared" si="0"/>
        <v>45900</v>
      </c>
      <c r="D24" s="15"/>
      <c r="E24" s="15"/>
      <c r="F24" s="15"/>
      <c r="G24" s="15">
        <v>8</v>
      </c>
      <c r="H24" s="15">
        <v>16</v>
      </c>
      <c r="I24" s="15">
        <v>8</v>
      </c>
      <c r="J24" s="15"/>
      <c r="K24" s="15"/>
      <c r="L24" s="15"/>
      <c r="M24" s="15">
        <v>24</v>
      </c>
      <c r="N24" s="15"/>
      <c r="O24" s="15"/>
      <c r="P24" s="15"/>
      <c r="Q24" s="15">
        <v>40</v>
      </c>
      <c r="R24" s="15">
        <v>32</v>
      </c>
      <c r="S24" s="15">
        <v>40</v>
      </c>
      <c r="T24" s="15"/>
      <c r="U24" s="15"/>
      <c r="V24" s="15"/>
      <c r="W24" s="15"/>
      <c r="X24" s="15"/>
    </row>
    <row r="25" spans="1:24" ht="14.25" customHeight="1" x14ac:dyDescent="0.55000000000000004">
      <c r="A25" s="15">
        <v>22</v>
      </c>
      <c r="B25" s="16">
        <f t="shared" si="1"/>
        <v>45901</v>
      </c>
      <c r="C25" s="16">
        <f t="shared" si="0"/>
        <v>45907</v>
      </c>
      <c r="D25" s="15"/>
      <c r="E25" s="15"/>
      <c r="F25" s="15"/>
      <c r="G25" s="15">
        <v>16</v>
      </c>
      <c r="H25" s="15">
        <v>24</v>
      </c>
      <c r="I25" s="15">
        <v>8</v>
      </c>
      <c r="J25" s="15"/>
      <c r="K25" s="15"/>
      <c r="L25" s="15"/>
      <c r="M25" s="15"/>
      <c r="N25" s="15"/>
      <c r="O25" s="15"/>
      <c r="P25" s="15"/>
      <c r="Q25" s="15"/>
      <c r="R25" s="15"/>
      <c r="S25" s="15">
        <v>40</v>
      </c>
      <c r="T25" s="15"/>
      <c r="U25" s="15"/>
      <c r="V25" s="15"/>
      <c r="W25" s="15"/>
      <c r="X25" s="15"/>
    </row>
    <row r="26" spans="1:24" ht="14.25" customHeight="1" x14ac:dyDescent="0.55000000000000004">
      <c r="A26" s="15">
        <v>23</v>
      </c>
      <c r="B26" s="16">
        <f t="shared" si="1"/>
        <v>45908</v>
      </c>
      <c r="C26" s="16">
        <f t="shared" si="0"/>
        <v>45914</v>
      </c>
      <c r="D26" s="15"/>
      <c r="E26" s="15"/>
      <c r="F26" s="15"/>
      <c r="G26" s="15">
        <v>8</v>
      </c>
      <c r="H26" s="15">
        <v>30</v>
      </c>
      <c r="I26" s="15">
        <v>6</v>
      </c>
      <c r="J26" s="15"/>
      <c r="K26" s="15"/>
      <c r="L26" s="15"/>
      <c r="M26" s="15">
        <v>40</v>
      </c>
      <c r="N26" s="15"/>
      <c r="O26" s="15"/>
      <c r="P26" s="15">
        <v>32</v>
      </c>
      <c r="Q26" s="15"/>
      <c r="R26" s="15"/>
      <c r="S26" s="15">
        <v>40</v>
      </c>
      <c r="T26" s="15"/>
      <c r="U26" s="15"/>
      <c r="V26" s="15"/>
      <c r="W26" s="15"/>
      <c r="X26" s="15"/>
    </row>
    <row r="27" spans="1:24" ht="14.25" customHeight="1" x14ac:dyDescent="0.55000000000000004">
      <c r="A27" s="15">
        <v>24</v>
      </c>
      <c r="B27" s="16">
        <f t="shared" si="1"/>
        <v>45915</v>
      </c>
      <c r="C27" s="16">
        <f t="shared" si="0"/>
        <v>45921</v>
      </c>
      <c r="D27" s="15"/>
      <c r="E27" s="15"/>
      <c r="F27" s="15"/>
      <c r="G27" s="15">
        <v>5</v>
      </c>
      <c r="H27" s="15">
        <v>10</v>
      </c>
      <c r="I27" s="15">
        <v>1</v>
      </c>
      <c r="J27" s="15"/>
      <c r="K27" s="15"/>
      <c r="L27" s="15"/>
      <c r="M27" s="15">
        <v>40</v>
      </c>
      <c r="N27" s="15"/>
      <c r="O27" s="15">
        <v>40</v>
      </c>
      <c r="P27" s="15">
        <v>40</v>
      </c>
      <c r="Q27" s="15">
        <v>40</v>
      </c>
      <c r="R27" s="15">
        <v>40</v>
      </c>
      <c r="S27" s="15">
        <v>40</v>
      </c>
      <c r="T27" s="15"/>
      <c r="U27" s="15"/>
      <c r="V27" s="15">
        <v>40</v>
      </c>
      <c r="W27" s="15"/>
      <c r="X27" s="15"/>
    </row>
    <row r="28" spans="1:24" ht="14.25" customHeight="1" x14ac:dyDescent="0.55000000000000004">
      <c r="A28" s="15">
        <v>25</v>
      </c>
      <c r="B28" s="16">
        <f t="shared" si="1"/>
        <v>45922</v>
      </c>
      <c r="C28" s="16">
        <f t="shared" si="0"/>
        <v>45928</v>
      </c>
      <c r="D28" s="15"/>
      <c r="E28" s="15"/>
      <c r="F28" s="15"/>
      <c r="G28" s="15">
        <v>6</v>
      </c>
      <c r="H28" s="15"/>
      <c r="I28" s="15">
        <v>1</v>
      </c>
      <c r="J28" s="15"/>
      <c r="K28" s="15"/>
      <c r="L28" s="15"/>
      <c r="M28" s="15"/>
      <c r="N28" s="15"/>
      <c r="O28" s="15">
        <v>40</v>
      </c>
      <c r="P28" s="15">
        <v>40</v>
      </c>
      <c r="Q28" s="15">
        <v>40</v>
      </c>
      <c r="R28" s="15">
        <v>40</v>
      </c>
      <c r="S28" s="15"/>
      <c r="T28" s="15"/>
      <c r="U28" s="15"/>
      <c r="V28" s="15">
        <v>16</v>
      </c>
      <c r="W28" s="15"/>
      <c r="X28" s="15"/>
    </row>
    <row r="29" spans="1:24" ht="14.25" customHeight="1" x14ac:dyDescent="0.55000000000000004">
      <c r="A29" s="15">
        <v>26</v>
      </c>
      <c r="B29" s="16">
        <f t="shared" si="1"/>
        <v>45929</v>
      </c>
      <c r="C29" s="16">
        <f t="shared" si="0"/>
        <v>45935</v>
      </c>
      <c r="D29" s="15"/>
      <c r="E29" s="15"/>
      <c r="F29" s="15"/>
      <c r="G29" s="15">
        <v>1</v>
      </c>
      <c r="H29" s="15"/>
      <c r="I29" s="15">
        <v>1</v>
      </c>
      <c r="J29" s="15"/>
      <c r="K29" s="15"/>
      <c r="L29" s="15"/>
      <c r="M29" s="15"/>
      <c r="N29" s="15"/>
      <c r="O29" s="15">
        <v>24</v>
      </c>
      <c r="P29" s="15">
        <v>40</v>
      </c>
      <c r="Q29" s="15">
        <v>40</v>
      </c>
      <c r="R29" s="15">
        <v>40</v>
      </c>
      <c r="S29" s="15">
        <v>40</v>
      </c>
      <c r="T29" s="15"/>
      <c r="U29" s="15"/>
      <c r="V29" s="15">
        <f>40-16</f>
        <v>24</v>
      </c>
      <c r="W29" s="15"/>
      <c r="X29" s="15"/>
    </row>
    <row r="30" spans="1:24" ht="14.25" customHeight="1" x14ac:dyDescent="0.55000000000000004">
      <c r="A30" s="15">
        <v>27</v>
      </c>
      <c r="B30" s="16">
        <f t="shared" si="1"/>
        <v>45936</v>
      </c>
      <c r="C30" s="16">
        <f t="shared" si="0"/>
        <v>45942</v>
      </c>
      <c r="D30" s="15"/>
      <c r="E30" s="15"/>
      <c r="F30" s="15"/>
      <c r="G30" s="15">
        <v>1</v>
      </c>
      <c r="H30" s="15"/>
      <c r="I30" s="15">
        <v>1</v>
      </c>
      <c r="J30" s="15"/>
      <c r="K30" s="15"/>
      <c r="L30" s="15"/>
      <c r="M30" s="15"/>
      <c r="N30" s="15"/>
      <c r="O30" s="15"/>
      <c r="P30" s="15">
        <v>40</v>
      </c>
      <c r="Q30" s="15">
        <v>40</v>
      </c>
      <c r="R30" s="15"/>
      <c r="S30" s="15"/>
      <c r="T30" s="15"/>
      <c r="U30" s="15"/>
      <c r="V30" s="15"/>
      <c r="W30" s="15"/>
      <c r="X30" s="15"/>
    </row>
    <row r="31" spans="1:24" ht="14.25" customHeight="1" x14ac:dyDescent="0.55000000000000004">
      <c r="A31" s="15">
        <v>28</v>
      </c>
      <c r="B31" s="16">
        <f t="shared" si="1"/>
        <v>45943</v>
      </c>
      <c r="C31" s="16">
        <f t="shared" si="0"/>
        <v>45949</v>
      </c>
      <c r="D31" s="15"/>
      <c r="E31" s="15"/>
      <c r="F31" s="15"/>
      <c r="G31" s="15">
        <v>1</v>
      </c>
      <c r="H31" s="15">
        <v>5</v>
      </c>
      <c r="I31" s="15">
        <v>1</v>
      </c>
      <c r="J31" s="15"/>
      <c r="K31" s="15"/>
      <c r="L31" s="15"/>
      <c r="M31" s="15"/>
      <c r="N31" s="15"/>
      <c r="O31" s="15">
        <v>40</v>
      </c>
      <c r="P31" s="15">
        <v>40</v>
      </c>
      <c r="Q31" s="15">
        <v>40</v>
      </c>
      <c r="R31" s="15"/>
      <c r="S31" s="15"/>
      <c r="T31" s="15"/>
      <c r="U31" s="15"/>
      <c r="V31" s="15">
        <v>40</v>
      </c>
      <c r="W31" s="15"/>
      <c r="X31" s="15"/>
    </row>
    <row r="32" spans="1:24" ht="14.25" customHeight="1" x14ac:dyDescent="0.55000000000000004">
      <c r="A32" s="15">
        <v>29</v>
      </c>
      <c r="B32" s="16">
        <f t="shared" si="1"/>
        <v>45950</v>
      </c>
      <c r="C32" s="16">
        <f t="shared" si="0"/>
        <v>45956</v>
      </c>
      <c r="D32" s="15"/>
      <c r="E32" s="15"/>
      <c r="F32" s="15"/>
      <c r="G32" s="15"/>
      <c r="H32" s="15"/>
      <c r="I32" s="15">
        <v>1</v>
      </c>
      <c r="J32" s="15"/>
      <c r="K32" s="15"/>
      <c r="L32" s="15">
        <v>32</v>
      </c>
      <c r="M32" s="15"/>
      <c r="N32" s="15"/>
      <c r="O32" s="15">
        <v>40</v>
      </c>
      <c r="P32" s="15">
        <v>40</v>
      </c>
      <c r="Q32" s="15">
        <v>40</v>
      </c>
      <c r="R32" s="15">
        <v>40</v>
      </c>
      <c r="S32" s="15"/>
      <c r="T32" s="15"/>
      <c r="U32" s="15"/>
      <c r="V32" s="15">
        <v>40</v>
      </c>
      <c r="W32" s="15"/>
      <c r="X32" s="15"/>
    </row>
    <row r="33" spans="1:24" ht="14.25" customHeight="1" x14ac:dyDescent="0.55000000000000004">
      <c r="A33" s="15">
        <v>30</v>
      </c>
      <c r="B33" s="16">
        <f t="shared" si="1"/>
        <v>45957</v>
      </c>
      <c r="C33" s="16">
        <f t="shared" si="0"/>
        <v>45963</v>
      </c>
      <c r="D33" s="15"/>
      <c r="E33" s="15"/>
      <c r="F33" s="15"/>
      <c r="G33" s="15"/>
      <c r="H33" s="15"/>
      <c r="I33" s="15">
        <v>1</v>
      </c>
      <c r="J33" s="15"/>
      <c r="K33" s="15"/>
      <c r="L33" s="15"/>
      <c r="M33" s="15"/>
      <c r="N33" s="15"/>
      <c r="O33" s="15"/>
      <c r="P33" s="15">
        <v>40</v>
      </c>
      <c r="Q33" s="15">
        <v>40</v>
      </c>
      <c r="R33" s="15">
        <v>40</v>
      </c>
      <c r="S33" s="15"/>
      <c r="T33" s="15"/>
      <c r="U33" s="15"/>
      <c r="V33" s="15">
        <v>40</v>
      </c>
      <c r="W33" s="15"/>
      <c r="X33" s="15"/>
    </row>
    <row r="34" spans="1:24" ht="14.25" customHeight="1" x14ac:dyDescent="0.55000000000000004">
      <c r="A34" s="15">
        <v>31</v>
      </c>
      <c r="B34" s="16">
        <f t="shared" si="1"/>
        <v>45964</v>
      </c>
      <c r="C34" s="16">
        <f t="shared" si="0"/>
        <v>45970</v>
      </c>
      <c r="D34" s="15"/>
      <c r="E34" s="15"/>
      <c r="F34" s="15"/>
      <c r="G34" s="15"/>
      <c r="H34" s="15"/>
      <c r="I34" s="15">
        <v>1</v>
      </c>
      <c r="J34" s="15"/>
      <c r="K34" s="15"/>
      <c r="L34" s="15"/>
      <c r="M34" s="15"/>
      <c r="N34" s="15"/>
      <c r="O34" s="15">
        <v>8</v>
      </c>
      <c r="P34" s="15">
        <v>40</v>
      </c>
      <c r="Q34" s="15">
        <v>40</v>
      </c>
      <c r="R34" s="15"/>
      <c r="S34" s="15"/>
      <c r="T34" s="15"/>
      <c r="U34" s="15"/>
      <c r="V34" s="15"/>
      <c r="W34" s="15"/>
      <c r="X34" s="15"/>
    </row>
    <row r="35" spans="1:24" ht="14.25" customHeight="1" x14ac:dyDescent="0.55000000000000004">
      <c r="A35" s="15">
        <v>32</v>
      </c>
      <c r="B35" s="16">
        <f t="shared" si="1"/>
        <v>45971</v>
      </c>
      <c r="C35" s="16">
        <f t="shared" si="0"/>
        <v>45977</v>
      </c>
      <c r="D35" s="15"/>
      <c r="E35" s="15"/>
      <c r="F35" s="15"/>
      <c r="G35" s="15"/>
      <c r="H35" s="15"/>
      <c r="I35" s="15">
        <v>1</v>
      </c>
      <c r="J35" s="15"/>
      <c r="K35" s="15"/>
      <c r="L35" s="15"/>
      <c r="M35" s="15"/>
      <c r="N35" s="15"/>
      <c r="O35" s="15">
        <v>40</v>
      </c>
      <c r="P35" s="15"/>
      <c r="Q35" s="15"/>
      <c r="R35" s="15">
        <v>40</v>
      </c>
      <c r="S35" s="15">
        <v>32</v>
      </c>
      <c r="T35" s="15"/>
      <c r="U35" s="15"/>
      <c r="V35" s="15">
        <v>40</v>
      </c>
      <c r="W35" s="15"/>
      <c r="X35" s="15"/>
    </row>
    <row r="36" spans="1:24" ht="13.5" customHeight="1" x14ac:dyDescent="0.55000000000000004">
      <c r="A36" s="15">
        <v>33</v>
      </c>
      <c r="B36" s="16">
        <f t="shared" si="1"/>
        <v>45978</v>
      </c>
      <c r="C36" s="16">
        <f t="shared" si="0"/>
        <v>45984</v>
      </c>
      <c r="D36" s="15"/>
      <c r="E36" s="15"/>
      <c r="F36" s="15"/>
      <c r="G36" s="15"/>
      <c r="H36" s="15">
        <v>1</v>
      </c>
      <c r="I36" s="15">
        <v>1</v>
      </c>
      <c r="J36" s="15"/>
      <c r="K36" s="15"/>
      <c r="L36" s="15"/>
      <c r="M36" s="15"/>
      <c r="N36" s="15"/>
      <c r="O36" s="15">
        <v>40</v>
      </c>
      <c r="P36" s="15"/>
      <c r="Q36" s="15"/>
      <c r="R36" s="15">
        <v>40</v>
      </c>
      <c r="S36" s="15">
        <v>40</v>
      </c>
      <c r="T36" s="15"/>
      <c r="U36" s="15"/>
      <c r="V36" s="15">
        <v>40</v>
      </c>
      <c r="W36" s="15"/>
      <c r="X36" s="15"/>
    </row>
    <row r="37" spans="1:24" ht="14.25" customHeight="1" x14ac:dyDescent="0.55000000000000004">
      <c r="A37" s="15">
        <v>34</v>
      </c>
      <c r="B37" s="16">
        <f t="shared" si="1"/>
        <v>45985</v>
      </c>
      <c r="C37" s="16">
        <f t="shared" si="0"/>
        <v>45991</v>
      </c>
      <c r="D37" s="15"/>
      <c r="E37" s="15"/>
      <c r="F37" s="15"/>
      <c r="G37" s="15"/>
      <c r="H37" s="15"/>
      <c r="I37" s="15">
        <v>1</v>
      </c>
      <c r="J37" s="15"/>
      <c r="K37" s="15"/>
      <c r="L37" s="15"/>
      <c r="M37" s="15"/>
      <c r="N37" s="15"/>
      <c r="O37" s="15"/>
      <c r="P37" s="15">
        <v>16</v>
      </c>
      <c r="Q37" s="15"/>
      <c r="R37" s="15"/>
      <c r="S37" s="15"/>
      <c r="T37" s="15"/>
      <c r="U37" s="15"/>
      <c r="V37" s="15"/>
      <c r="W37" s="15"/>
      <c r="X37" s="15"/>
    </row>
    <row r="38" spans="1:24" ht="14.25" customHeight="1" x14ac:dyDescent="0.55000000000000004">
      <c r="A38" s="15">
        <v>35</v>
      </c>
      <c r="B38" s="16">
        <f t="shared" si="1"/>
        <v>45992</v>
      </c>
      <c r="C38" s="16">
        <f t="shared" si="0"/>
        <v>45998</v>
      </c>
      <c r="D38" s="15"/>
      <c r="E38" s="15"/>
      <c r="F38" s="15"/>
      <c r="G38" s="15"/>
      <c r="H38" s="15"/>
      <c r="I38" s="15">
        <v>1</v>
      </c>
      <c r="J38" s="15"/>
      <c r="K38" s="15"/>
      <c r="L38" s="15"/>
      <c r="M38" s="15"/>
      <c r="N38" s="15"/>
      <c r="O38" s="15">
        <v>40</v>
      </c>
      <c r="P38" s="15">
        <v>40</v>
      </c>
      <c r="Q38" s="15">
        <v>40</v>
      </c>
      <c r="R38" s="15">
        <v>40</v>
      </c>
      <c r="S38" s="15"/>
      <c r="T38" s="15"/>
      <c r="U38" s="15"/>
      <c r="V38" s="15"/>
      <c r="W38" s="15"/>
      <c r="X38" s="15"/>
    </row>
    <row r="39" spans="1:24" ht="14.25" customHeight="1" x14ac:dyDescent="0.55000000000000004">
      <c r="A39" s="15">
        <v>36</v>
      </c>
      <c r="B39" s="16">
        <f t="shared" si="1"/>
        <v>45999</v>
      </c>
      <c r="C39" s="16">
        <f t="shared" si="0"/>
        <v>46005</v>
      </c>
      <c r="D39" s="15"/>
      <c r="E39" s="15"/>
      <c r="F39" s="15"/>
      <c r="G39" s="15"/>
      <c r="H39" s="15"/>
      <c r="I39" s="15"/>
      <c r="J39" s="15"/>
      <c r="K39" s="15"/>
      <c r="L39" s="15">
        <v>40</v>
      </c>
      <c r="M39" s="15"/>
      <c r="N39" s="15"/>
      <c r="O39" s="15">
        <v>40</v>
      </c>
      <c r="P39" s="15">
        <v>40</v>
      </c>
      <c r="Q39" s="15">
        <v>40</v>
      </c>
      <c r="R39" s="15">
        <v>40</v>
      </c>
      <c r="S39" s="15"/>
      <c r="T39" s="15"/>
      <c r="U39" s="15"/>
      <c r="V39" s="15">
        <v>40</v>
      </c>
      <c r="W39" s="15"/>
      <c r="X39" s="15"/>
    </row>
    <row r="40" spans="1:24" ht="14.25" customHeight="1" x14ac:dyDescent="0.55000000000000004">
      <c r="A40" s="15">
        <v>37</v>
      </c>
      <c r="B40" s="16">
        <f t="shared" si="1"/>
        <v>46006</v>
      </c>
      <c r="C40" s="16">
        <f t="shared" si="0"/>
        <v>46012</v>
      </c>
      <c r="D40" s="15"/>
      <c r="E40" s="15"/>
      <c r="F40" s="15"/>
      <c r="G40" s="15"/>
      <c r="H40" s="15"/>
      <c r="I40" s="15"/>
      <c r="J40" s="15"/>
      <c r="K40" s="15"/>
      <c r="L40" s="15">
        <v>40</v>
      </c>
      <c r="M40" s="15"/>
      <c r="N40" s="15"/>
      <c r="O40" s="15">
        <v>40</v>
      </c>
      <c r="P40" s="15">
        <v>40</v>
      </c>
      <c r="Q40" s="15">
        <v>40</v>
      </c>
      <c r="R40" s="15">
        <v>40</v>
      </c>
      <c r="S40" s="15"/>
      <c r="T40" s="15">
        <v>40</v>
      </c>
      <c r="U40" s="15"/>
      <c r="V40" s="15">
        <v>40</v>
      </c>
      <c r="W40" s="15"/>
      <c r="X40" s="15"/>
    </row>
    <row r="41" spans="1:24" ht="14.25" customHeight="1" x14ac:dyDescent="0.55000000000000004">
      <c r="A41" s="15">
        <v>38</v>
      </c>
      <c r="B41" s="16">
        <f t="shared" si="1"/>
        <v>46013</v>
      </c>
      <c r="C41" s="16">
        <f t="shared" si="0"/>
        <v>46019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>
        <v>24</v>
      </c>
      <c r="Q41" s="15"/>
      <c r="R41" s="15"/>
      <c r="S41" s="15"/>
      <c r="T41" s="15"/>
      <c r="U41" s="15"/>
      <c r="V41" s="15"/>
      <c r="W41" s="15"/>
      <c r="X41" s="15"/>
    </row>
    <row r="42" spans="1:24" ht="14.25" customHeight="1" x14ac:dyDescent="0.55000000000000004">
      <c r="A42" s="15">
        <v>39</v>
      </c>
      <c r="B42" s="16">
        <f t="shared" si="1"/>
        <v>46020</v>
      </c>
      <c r="C42" s="16">
        <f t="shared" si="0"/>
        <v>46026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>
        <v>8</v>
      </c>
      <c r="Q42" s="15">
        <v>8</v>
      </c>
      <c r="R42" s="15"/>
      <c r="S42" s="15"/>
      <c r="T42" s="15"/>
      <c r="U42" s="15"/>
      <c r="V42" s="15"/>
      <c r="W42" s="15"/>
      <c r="X42" s="15"/>
    </row>
    <row r="43" spans="1:24" ht="14.25" customHeight="1" x14ac:dyDescent="0.55000000000000004">
      <c r="A43" s="15">
        <v>40</v>
      </c>
      <c r="B43" s="16">
        <f t="shared" si="1"/>
        <v>46027</v>
      </c>
      <c r="C43" s="16">
        <f t="shared" si="0"/>
        <v>46033</v>
      </c>
      <c r="D43" s="15"/>
      <c r="E43" s="15"/>
      <c r="F43" s="15"/>
      <c r="G43" s="15"/>
      <c r="H43" s="15"/>
      <c r="I43" s="15"/>
      <c r="J43" s="15"/>
      <c r="K43" s="15"/>
      <c r="L43" s="15">
        <v>32</v>
      </c>
      <c r="M43" s="15"/>
      <c r="N43" s="15"/>
      <c r="O43" s="15"/>
      <c r="P43" s="15">
        <v>40</v>
      </c>
      <c r="Q43" s="15">
        <v>40</v>
      </c>
      <c r="R43" s="15"/>
      <c r="S43" s="15">
        <v>32</v>
      </c>
      <c r="T43" s="15"/>
      <c r="U43" s="15">
        <v>32</v>
      </c>
      <c r="V43" s="15"/>
      <c r="W43" s="15"/>
      <c r="X43" s="15"/>
    </row>
    <row r="44" spans="1:24" ht="14.25" customHeight="1" x14ac:dyDescent="0.55000000000000004">
      <c r="A44" s="15">
        <v>41</v>
      </c>
      <c r="B44" s="16">
        <f t="shared" si="1"/>
        <v>46034</v>
      </c>
      <c r="C44" s="16">
        <f t="shared" si="0"/>
        <v>46040</v>
      </c>
      <c r="D44" s="15"/>
      <c r="E44" s="15"/>
      <c r="F44" s="15"/>
      <c r="G44" s="15"/>
      <c r="H44" s="15"/>
      <c r="I44" s="15"/>
      <c r="J44" s="15"/>
      <c r="K44" s="15"/>
      <c r="L44" s="15">
        <v>40</v>
      </c>
      <c r="M44" s="15"/>
      <c r="N44" s="15"/>
      <c r="O44" s="15"/>
      <c r="P44" s="15">
        <v>40</v>
      </c>
      <c r="Q44" s="15">
        <v>40</v>
      </c>
      <c r="R44" s="15"/>
      <c r="S44" s="15"/>
      <c r="T44" s="15">
        <v>24</v>
      </c>
      <c r="U44" s="15">
        <v>24</v>
      </c>
      <c r="V44" s="15"/>
      <c r="W44" s="15"/>
      <c r="X44" s="15"/>
    </row>
    <row r="45" spans="1:24" ht="14.25" customHeight="1" x14ac:dyDescent="0.55000000000000004">
      <c r="A45" s="15">
        <v>42</v>
      </c>
      <c r="B45" s="16">
        <f t="shared" si="1"/>
        <v>46041</v>
      </c>
      <c r="C45" s="16">
        <f t="shared" si="0"/>
        <v>46047</v>
      </c>
      <c r="D45" s="15"/>
      <c r="E45" s="15"/>
      <c r="F45" s="15"/>
      <c r="G45" s="15"/>
      <c r="H45" s="15"/>
      <c r="I45" s="15"/>
      <c r="J45" s="15"/>
      <c r="K45" s="15"/>
      <c r="L45" s="15">
        <v>40</v>
      </c>
      <c r="M45" s="15"/>
      <c r="N45" s="15"/>
      <c r="O45" s="15"/>
      <c r="P45" s="15">
        <v>40</v>
      </c>
      <c r="Q45" s="15">
        <v>40</v>
      </c>
      <c r="R45" s="15"/>
      <c r="S45" s="15"/>
      <c r="T45" s="15">
        <v>40</v>
      </c>
      <c r="U45" s="15"/>
      <c r="V45" s="15"/>
      <c r="W45" s="15"/>
      <c r="X45" s="15"/>
    </row>
    <row r="46" spans="1:24" ht="14.25" customHeight="1" x14ac:dyDescent="0.55000000000000004">
      <c r="A46" s="15">
        <v>43</v>
      </c>
      <c r="B46" s="16">
        <f t="shared" si="1"/>
        <v>46048</v>
      </c>
      <c r="C46" s="16">
        <f t="shared" si="0"/>
        <v>46054</v>
      </c>
      <c r="D46" s="15"/>
      <c r="E46" s="15"/>
      <c r="F46" s="15"/>
      <c r="G46" s="15"/>
      <c r="H46" s="15">
        <v>4</v>
      </c>
      <c r="I46" s="15">
        <v>1</v>
      </c>
      <c r="J46" s="15"/>
      <c r="K46" s="15"/>
      <c r="L46" s="15">
        <v>40</v>
      </c>
      <c r="M46" s="15"/>
      <c r="N46" s="15"/>
      <c r="O46" s="15"/>
      <c r="P46" s="15">
        <v>40</v>
      </c>
      <c r="Q46" s="15">
        <v>40</v>
      </c>
      <c r="R46" s="15"/>
      <c r="S46" s="15"/>
      <c r="T46" s="15">
        <v>40</v>
      </c>
      <c r="U46" s="15"/>
      <c r="V46" s="15"/>
      <c r="W46" s="15"/>
      <c r="X46" s="15"/>
    </row>
    <row r="47" spans="1:24" ht="14.25" customHeight="1" x14ac:dyDescent="0.55000000000000004">
      <c r="A47" s="15">
        <v>44</v>
      </c>
      <c r="B47" s="16">
        <f t="shared" si="1"/>
        <v>46055</v>
      </c>
      <c r="C47" s="16">
        <f t="shared" si="0"/>
        <v>46061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>
        <v>40</v>
      </c>
      <c r="Q47" s="15">
        <v>40</v>
      </c>
      <c r="R47" s="15"/>
      <c r="S47" s="15"/>
      <c r="T47" s="15"/>
      <c r="U47" s="15">
        <v>24</v>
      </c>
      <c r="V47" s="15"/>
      <c r="W47" s="15"/>
      <c r="X47" s="15"/>
    </row>
    <row r="48" spans="1:24" ht="14.25" customHeight="1" x14ac:dyDescent="0.55000000000000004">
      <c r="A48" s="15">
        <v>45</v>
      </c>
      <c r="B48" s="16">
        <f t="shared" si="1"/>
        <v>46062</v>
      </c>
      <c r="C48" s="16">
        <f t="shared" si="0"/>
        <v>46068</v>
      </c>
      <c r="D48" s="15"/>
      <c r="E48" s="15"/>
      <c r="F48" s="15"/>
      <c r="G48" s="15">
        <v>2</v>
      </c>
      <c r="H48" s="15"/>
      <c r="I48" s="15">
        <v>3</v>
      </c>
      <c r="J48" s="15"/>
      <c r="K48" s="15"/>
      <c r="L48" s="15"/>
      <c r="M48" s="17"/>
      <c r="N48" s="15"/>
      <c r="O48" s="15"/>
      <c r="P48" s="15">
        <v>24</v>
      </c>
      <c r="Q48" s="15">
        <v>24</v>
      </c>
      <c r="R48" s="15"/>
      <c r="S48" s="15"/>
      <c r="T48" s="15"/>
      <c r="U48" s="15">
        <v>40</v>
      </c>
      <c r="V48" s="15"/>
      <c r="W48" s="15"/>
      <c r="X48" s="15"/>
    </row>
    <row r="49" spans="1:24" ht="14.25" customHeight="1" x14ac:dyDescent="0.55000000000000004">
      <c r="A49" s="15">
        <v>46</v>
      </c>
      <c r="B49" s="16">
        <f t="shared" si="1"/>
        <v>46069</v>
      </c>
      <c r="C49" s="16">
        <f t="shared" si="0"/>
        <v>46075</v>
      </c>
      <c r="D49" s="15"/>
      <c r="E49" s="15"/>
      <c r="F49" s="18">
        <v>5</v>
      </c>
      <c r="G49" s="15">
        <v>2</v>
      </c>
      <c r="H49" s="15"/>
      <c r="I49" s="15">
        <v>4</v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>
        <v>40</v>
      </c>
      <c r="V49" s="15"/>
      <c r="W49" s="15"/>
      <c r="X49" s="18">
        <v>40</v>
      </c>
    </row>
    <row r="50" spans="1:24" ht="14.25" customHeight="1" x14ac:dyDescent="0.55000000000000004">
      <c r="A50" s="15">
        <v>47</v>
      </c>
      <c r="B50" s="16">
        <f t="shared" si="1"/>
        <v>46076</v>
      </c>
      <c r="C50" s="16">
        <f t="shared" si="0"/>
        <v>46082</v>
      </c>
      <c r="D50" s="15"/>
      <c r="E50" s="15"/>
      <c r="F50" s="18">
        <v>10</v>
      </c>
      <c r="G50" s="15">
        <v>1</v>
      </c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8"/>
      <c r="X50" s="18">
        <v>40</v>
      </c>
    </row>
    <row r="51" spans="1:24" ht="14.25" customHeight="1" x14ac:dyDescent="0.55000000000000004">
      <c r="A51" s="15">
        <v>48</v>
      </c>
      <c r="B51" s="16">
        <f t="shared" si="1"/>
        <v>46083</v>
      </c>
      <c r="C51" s="16">
        <f t="shared" si="0"/>
        <v>46089</v>
      </c>
      <c r="D51" s="15"/>
      <c r="E51" s="15"/>
      <c r="F51" s="18">
        <v>15</v>
      </c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8">
        <v>16</v>
      </c>
      <c r="R51" s="15"/>
      <c r="S51" s="15"/>
      <c r="T51" s="15"/>
      <c r="U51" s="15"/>
      <c r="V51" s="15"/>
      <c r="W51" s="18">
        <v>16</v>
      </c>
      <c r="X51" s="18">
        <v>24</v>
      </c>
    </row>
    <row r="52" spans="1:24" ht="14.25" customHeight="1" x14ac:dyDescent="0.55000000000000004">
      <c r="A52" s="15">
        <v>49</v>
      </c>
      <c r="B52" s="16">
        <f t="shared" si="1"/>
        <v>46090</v>
      </c>
      <c r="C52" s="16">
        <f t="shared" si="0"/>
        <v>46096</v>
      </c>
      <c r="D52" s="15"/>
      <c r="E52" s="15"/>
      <c r="F52" s="18">
        <v>10</v>
      </c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8">
        <v>40</v>
      </c>
      <c r="R52" s="15"/>
      <c r="S52" s="15"/>
      <c r="T52" s="15"/>
      <c r="U52" s="15"/>
      <c r="V52" s="15"/>
      <c r="W52" s="18">
        <v>32</v>
      </c>
      <c r="X52" s="15"/>
    </row>
    <row r="53" spans="1:24" ht="14.25" customHeight="1" x14ac:dyDescent="0.55000000000000004">
      <c r="A53" s="15">
        <v>50</v>
      </c>
      <c r="B53" s="16">
        <f t="shared" si="1"/>
        <v>46097</v>
      </c>
      <c r="C53" s="16">
        <f t="shared" si="0"/>
        <v>46103</v>
      </c>
      <c r="D53" s="15"/>
      <c r="E53" s="15"/>
      <c r="F53" s="18">
        <v>10</v>
      </c>
      <c r="G53" s="15"/>
      <c r="H53" s="15"/>
      <c r="I53" s="15"/>
      <c r="J53" s="15"/>
      <c r="K53" s="15"/>
      <c r="L53" s="18">
        <v>5</v>
      </c>
      <c r="M53" s="15"/>
      <c r="N53" s="15"/>
      <c r="O53" s="15"/>
      <c r="P53" s="15"/>
      <c r="Q53" s="18">
        <v>40</v>
      </c>
      <c r="R53" s="15"/>
      <c r="S53" s="15"/>
      <c r="T53" s="15"/>
      <c r="U53" s="15"/>
      <c r="V53" s="15"/>
      <c r="W53" s="18">
        <v>24</v>
      </c>
      <c r="X53" s="15"/>
    </row>
    <row r="54" spans="1:24" ht="14.25" customHeight="1" x14ac:dyDescent="0.55000000000000004">
      <c r="A54" s="15">
        <v>51</v>
      </c>
      <c r="B54" s="16">
        <f t="shared" si="1"/>
        <v>46104</v>
      </c>
      <c r="C54" s="16">
        <f t="shared" si="0"/>
        <v>46110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  <row r="55" spans="1:24" ht="14.25" customHeight="1" x14ac:dyDescent="0.55000000000000004">
      <c r="A55" s="15">
        <v>52</v>
      </c>
      <c r="B55" s="16">
        <f t="shared" si="1"/>
        <v>46111</v>
      </c>
      <c r="C55" s="16">
        <f t="shared" si="0"/>
        <v>46117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  <row r="56" spans="1:24" ht="14.25" customHeight="1" x14ac:dyDescent="0.55000000000000004">
      <c r="A56" s="15">
        <v>53</v>
      </c>
      <c r="B56" s="16">
        <f t="shared" si="1"/>
        <v>46118</v>
      </c>
      <c r="C56" s="16">
        <f t="shared" si="0"/>
        <v>46124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</row>
    <row r="57" spans="1:24" ht="14.25" customHeight="1" x14ac:dyDescent="0.55000000000000004">
      <c r="A57" s="15">
        <v>54</v>
      </c>
      <c r="B57" s="16">
        <f t="shared" si="1"/>
        <v>46125</v>
      </c>
      <c r="C57" s="16">
        <f t="shared" si="0"/>
        <v>46131</v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</row>
    <row r="58" spans="1:24" ht="14.25" customHeight="1" x14ac:dyDescent="0.55000000000000004">
      <c r="A58" s="15">
        <v>55</v>
      </c>
      <c r="B58" s="16">
        <f t="shared" si="1"/>
        <v>46132</v>
      </c>
      <c r="C58" s="16">
        <f t="shared" si="0"/>
        <v>46138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</row>
    <row r="59" spans="1:24" ht="14.25" customHeight="1" x14ac:dyDescent="0.55000000000000004">
      <c r="A59" s="15">
        <v>56</v>
      </c>
      <c r="B59" s="16">
        <f t="shared" si="1"/>
        <v>46139</v>
      </c>
      <c r="C59" s="16">
        <f t="shared" si="0"/>
        <v>46145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</row>
    <row r="60" spans="1:24" ht="14.25" customHeight="1" x14ac:dyDescent="0.55000000000000004">
      <c r="A60" s="15">
        <v>57</v>
      </c>
      <c r="B60" s="16">
        <f t="shared" si="1"/>
        <v>46146</v>
      </c>
      <c r="C60" s="16">
        <f t="shared" si="0"/>
        <v>46152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</row>
    <row r="61" spans="1:24" ht="14.25" customHeight="1" x14ac:dyDescent="0.55000000000000004">
      <c r="A61" s="15">
        <v>58</v>
      </c>
      <c r="B61" s="16">
        <f t="shared" si="1"/>
        <v>46153</v>
      </c>
      <c r="C61" s="16">
        <f t="shared" si="0"/>
        <v>46159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</row>
    <row r="62" spans="1:24" ht="14.25" customHeight="1" x14ac:dyDescent="0.55000000000000004">
      <c r="A62" s="15">
        <v>59</v>
      </c>
      <c r="B62" s="16">
        <f t="shared" si="1"/>
        <v>46160</v>
      </c>
      <c r="C62" s="16">
        <f t="shared" si="0"/>
        <v>46166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</row>
    <row r="63" spans="1:24" ht="14.25" customHeight="1" x14ac:dyDescent="0.55000000000000004">
      <c r="A63" s="15">
        <v>60</v>
      </c>
      <c r="B63" s="16">
        <f t="shared" si="1"/>
        <v>46167</v>
      </c>
      <c r="C63" s="16">
        <f t="shared" si="0"/>
        <v>46173</v>
      </c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</row>
    <row r="64" spans="1:24" ht="14.25" customHeight="1" x14ac:dyDescent="0.55000000000000004">
      <c r="A64" s="15">
        <v>61</v>
      </c>
      <c r="B64" s="16">
        <f t="shared" si="1"/>
        <v>46174</v>
      </c>
      <c r="C64" s="16">
        <f t="shared" si="0"/>
        <v>46180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</row>
    <row r="65" spans="1:24" ht="14.25" customHeight="1" x14ac:dyDescent="0.55000000000000004">
      <c r="A65" s="15">
        <v>62</v>
      </c>
      <c r="B65" s="16">
        <f t="shared" si="1"/>
        <v>46181</v>
      </c>
      <c r="C65" s="16">
        <f t="shared" si="0"/>
        <v>46187</v>
      </c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</row>
    <row r="66" spans="1:24" ht="14.25" customHeight="1" x14ac:dyDescent="0.55000000000000004">
      <c r="A66" s="15">
        <v>63</v>
      </c>
      <c r="B66" s="16">
        <f t="shared" si="1"/>
        <v>46188</v>
      </c>
      <c r="C66" s="16">
        <f t="shared" si="0"/>
        <v>46194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</row>
    <row r="67" spans="1:24" ht="14.25" customHeight="1" x14ac:dyDescent="0.55000000000000004">
      <c r="A67" s="15">
        <v>64</v>
      </c>
      <c r="B67" s="16">
        <f t="shared" si="1"/>
        <v>46195</v>
      </c>
      <c r="C67" s="16">
        <f t="shared" si="0"/>
        <v>46201</v>
      </c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</row>
    <row r="68" spans="1:24" ht="14.25" customHeight="1" x14ac:dyDescent="0.55000000000000004">
      <c r="A68" s="15">
        <v>65</v>
      </c>
      <c r="B68" s="16">
        <f t="shared" si="1"/>
        <v>46202</v>
      </c>
      <c r="C68" s="16">
        <f t="shared" si="0"/>
        <v>46208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</row>
    <row r="69" spans="1:24" ht="14.25" customHeight="1" x14ac:dyDescent="0.55000000000000004">
      <c r="A69" s="15">
        <v>66</v>
      </c>
      <c r="B69" s="16">
        <f t="shared" si="1"/>
        <v>46209</v>
      </c>
      <c r="C69" s="16">
        <f t="shared" si="0"/>
        <v>46215</v>
      </c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</row>
    <row r="70" spans="1:24" ht="14.25" customHeight="1" x14ac:dyDescent="0.55000000000000004">
      <c r="A70" s="15">
        <v>67</v>
      </c>
      <c r="B70" s="16">
        <f t="shared" si="1"/>
        <v>46216</v>
      </c>
      <c r="C70" s="16">
        <f t="shared" si="0"/>
        <v>46222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</row>
    <row r="71" spans="1:24" ht="14.25" customHeight="1" x14ac:dyDescent="0.55000000000000004">
      <c r="A71" s="15">
        <v>68</v>
      </c>
      <c r="B71" s="16">
        <f t="shared" si="1"/>
        <v>46223</v>
      </c>
      <c r="C71" s="16">
        <f t="shared" si="0"/>
        <v>46229</v>
      </c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</row>
    <row r="72" spans="1:24" ht="14.25" customHeight="1" x14ac:dyDescent="0.55000000000000004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</row>
    <row r="73" spans="1:24" ht="14.25" customHeight="1" x14ac:dyDescent="0.55000000000000004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</row>
    <row r="74" spans="1:24" ht="14.25" customHeight="1" x14ac:dyDescent="0.5500000000000000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</row>
    <row r="75" spans="1:24" ht="14.25" customHeight="1" x14ac:dyDescent="0.55000000000000004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</row>
    <row r="76" spans="1:24" ht="14.25" customHeight="1" x14ac:dyDescent="0.55000000000000004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</row>
    <row r="77" spans="1:24" ht="14.25" customHeight="1" x14ac:dyDescent="0.55000000000000004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</row>
    <row r="78" spans="1:24" ht="14.25" customHeight="1" x14ac:dyDescent="0.55000000000000004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</row>
    <row r="79" spans="1:24" ht="14.25" customHeight="1" x14ac:dyDescent="0.55000000000000004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</row>
    <row r="80" spans="1:24" ht="14.25" customHeight="1" x14ac:dyDescent="0.55000000000000004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</row>
    <row r="81" spans="1:23" ht="14.25" customHeight="1" x14ac:dyDescent="0.55000000000000004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</row>
    <row r="82" spans="1:23" ht="14.25" customHeight="1" x14ac:dyDescent="0.55000000000000004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</row>
    <row r="83" spans="1:23" ht="14.25" customHeight="1" x14ac:dyDescent="0.55000000000000004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</row>
    <row r="84" spans="1:23" ht="14.25" customHeight="1" x14ac:dyDescent="0.5500000000000000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</row>
    <row r="85" spans="1:23" ht="14.25" customHeight="1" x14ac:dyDescent="0.55000000000000004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</row>
    <row r="86" spans="1:23" ht="14.25" customHeight="1" x14ac:dyDescent="0.55000000000000004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</row>
    <row r="87" spans="1:23" ht="14.25" customHeight="1" x14ac:dyDescent="0.55000000000000004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</row>
    <row r="88" spans="1:23" ht="14.25" customHeight="1" x14ac:dyDescent="0.55000000000000004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</row>
    <row r="89" spans="1:23" ht="14.25" customHeight="1" x14ac:dyDescent="0.55000000000000004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</row>
    <row r="90" spans="1:23" ht="14.25" customHeight="1" x14ac:dyDescent="0.55000000000000004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</row>
    <row r="91" spans="1:23" ht="14.25" customHeight="1" x14ac:dyDescent="0.55000000000000004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</row>
    <row r="92" spans="1:23" ht="14.25" customHeight="1" x14ac:dyDescent="0.55000000000000004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</row>
    <row r="93" spans="1:23" ht="14.25" customHeight="1" x14ac:dyDescent="0.55000000000000004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</row>
    <row r="94" spans="1:23" ht="14.25" customHeight="1" x14ac:dyDescent="0.5500000000000000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</row>
    <row r="95" spans="1:23" ht="14.25" customHeight="1" x14ac:dyDescent="0.55000000000000004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</row>
    <row r="96" spans="1:23" ht="14.25" customHeight="1" x14ac:dyDescent="0.55000000000000004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</row>
    <row r="97" spans="1:23" ht="14.25" customHeight="1" x14ac:dyDescent="0.55000000000000004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</row>
    <row r="98" spans="1:23" ht="14.25" customHeight="1" x14ac:dyDescent="0.55000000000000004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</row>
    <row r="99" spans="1:23" ht="14.25" customHeight="1" x14ac:dyDescent="0.55000000000000004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</row>
    <row r="100" spans="1:23" ht="14.25" customHeight="1" x14ac:dyDescent="0.55000000000000004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</row>
    <row r="101" spans="1:23" ht="14.25" customHeight="1" x14ac:dyDescent="0.55000000000000004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</row>
    <row r="102" spans="1:23" ht="14.25" customHeight="1" x14ac:dyDescent="0.55000000000000004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</row>
    <row r="103" spans="1:23" ht="14.25" customHeight="1" x14ac:dyDescent="0.55000000000000004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</row>
    <row r="104" spans="1:23" ht="14.25" customHeight="1" x14ac:dyDescent="0.550000000000000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</row>
    <row r="105" spans="1:23" ht="14.25" customHeight="1" x14ac:dyDescent="0.55000000000000004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</row>
    <row r="106" spans="1:23" ht="14.25" customHeight="1" x14ac:dyDescent="0.55000000000000004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</row>
    <row r="107" spans="1:23" ht="14.25" customHeight="1" x14ac:dyDescent="0.55000000000000004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</row>
    <row r="108" spans="1:23" ht="14.25" customHeight="1" x14ac:dyDescent="0.55000000000000004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</row>
    <row r="109" spans="1:23" ht="14.25" customHeight="1" x14ac:dyDescent="0.55000000000000004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</row>
    <row r="110" spans="1:23" ht="14.25" customHeight="1" x14ac:dyDescent="0.55000000000000004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</row>
    <row r="111" spans="1:23" ht="14.25" customHeight="1" x14ac:dyDescent="0.55000000000000004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</row>
    <row r="112" spans="1:23" ht="14.25" customHeight="1" x14ac:dyDescent="0.55000000000000004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</row>
    <row r="113" spans="1:23" ht="14.25" customHeight="1" x14ac:dyDescent="0.55000000000000004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</row>
    <row r="114" spans="1:23" ht="14.25" customHeight="1" x14ac:dyDescent="0.5500000000000000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</row>
    <row r="115" spans="1:23" ht="14.25" customHeight="1" x14ac:dyDescent="0.55000000000000004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</row>
    <row r="116" spans="1:23" ht="14.25" customHeight="1" x14ac:dyDescent="0.55000000000000004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</row>
    <row r="117" spans="1:23" ht="14.25" customHeight="1" x14ac:dyDescent="0.55000000000000004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</row>
    <row r="118" spans="1:23" ht="14.25" customHeight="1" x14ac:dyDescent="0.55000000000000004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</row>
    <row r="119" spans="1:23" ht="14.25" customHeight="1" x14ac:dyDescent="0.55000000000000004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</row>
    <row r="120" spans="1:23" ht="14.25" customHeight="1" x14ac:dyDescent="0.55000000000000004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</row>
    <row r="121" spans="1:23" ht="14.25" customHeight="1" x14ac:dyDescent="0.55000000000000004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</row>
    <row r="122" spans="1:23" ht="14.25" customHeight="1" x14ac:dyDescent="0.55000000000000004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</row>
    <row r="123" spans="1:23" ht="14.25" customHeight="1" x14ac:dyDescent="0.55000000000000004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</row>
    <row r="124" spans="1:23" ht="14.25" customHeight="1" x14ac:dyDescent="0.5500000000000000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</row>
    <row r="125" spans="1:23" ht="14.25" customHeight="1" x14ac:dyDescent="0.55000000000000004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</row>
    <row r="126" spans="1:23" ht="14.25" customHeight="1" x14ac:dyDescent="0.55000000000000004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</row>
    <row r="127" spans="1:23" ht="14.25" customHeight="1" x14ac:dyDescent="0.55000000000000004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</row>
    <row r="128" spans="1:23" ht="14.25" customHeight="1" x14ac:dyDescent="0.55000000000000004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</row>
    <row r="129" spans="1:23" ht="14.25" customHeight="1" x14ac:dyDescent="0.55000000000000004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</row>
    <row r="130" spans="1:23" ht="14.25" customHeight="1" x14ac:dyDescent="0.55000000000000004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</row>
    <row r="131" spans="1:23" ht="14.25" customHeight="1" x14ac:dyDescent="0.55000000000000004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</row>
    <row r="132" spans="1:23" ht="14.25" customHeight="1" x14ac:dyDescent="0.55000000000000004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</row>
    <row r="133" spans="1:23" ht="14.25" customHeight="1" x14ac:dyDescent="0.55000000000000004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</row>
    <row r="134" spans="1:23" ht="14.25" customHeight="1" x14ac:dyDescent="0.5500000000000000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</row>
    <row r="135" spans="1:23" ht="14.25" customHeight="1" x14ac:dyDescent="0.55000000000000004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</row>
    <row r="136" spans="1:23" ht="14.25" customHeight="1" x14ac:dyDescent="0.55000000000000004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</row>
    <row r="137" spans="1:23" ht="14.25" customHeight="1" x14ac:dyDescent="0.55000000000000004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</row>
    <row r="138" spans="1:23" ht="14.25" customHeight="1" x14ac:dyDescent="0.55000000000000004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</row>
    <row r="139" spans="1:23" ht="14.25" customHeight="1" x14ac:dyDescent="0.55000000000000004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</row>
    <row r="140" spans="1:23" ht="14.25" customHeight="1" x14ac:dyDescent="0.55000000000000004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</row>
    <row r="141" spans="1:23" ht="14.25" customHeight="1" x14ac:dyDescent="0.55000000000000004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</row>
    <row r="142" spans="1:23" ht="14.25" customHeight="1" x14ac:dyDescent="0.55000000000000004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</row>
    <row r="143" spans="1:23" ht="14.25" customHeight="1" x14ac:dyDescent="0.55000000000000004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</row>
    <row r="144" spans="1:23" ht="14.25" customHeight="1" x14ac:dyDescent="0.5500000000000000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</row>
    <row r="145" spans="1:23" ht="14.25" customHeight="1" x14ac:dyDescent="0.55000000000000004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</row>
    <row r="146" spans="1:23" ht="14.25" customHeight="1" x14ac:dyDescent="0.55000000000000004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</row>
    <row r="147" spans="1:23" ht="14.25" customHeight="1" x14ac:dyDescent="0.55000000000000004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</row>
    <row r="148" spans="1:23" ht="14.25" customHeight="1" x14ac:dyDescent="0.55000000000000004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</row>
    <row r="149" spans="1:23" ht="14.25" customHeight="1" x14ac:dyDescent="0.55000000000000004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</row>
    <row r="150" spans="1:23" ht="14.25" customHeight="1" x14ac:dyDescent="0.55000000000000004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</row>
    <row r="151" spans="1:23" ht="14.25" customHeight="1" x14ac:dyDescent="0.55000000000000004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</row>
    <row r="152" spans="1:23" ht="14.25" customHeight="1" x14ac:dyDescent="0.55000000000000004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</row>
    <row r="153" spans="1:23" ht="14.25" customHeight="1" x14ac:dyDescent="0.55000000000000004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</row>
    <row r="154" spans="1:23" ht="14.25" customHeight="1" x14ac:dyDescent="0.5500000000000000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</row>
    <row r="155" spans="1:23" ht="14.25" customHeight="1" x14ac:dyDescent="0.55000000000000004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</row>
    <row r="156" spans="1:23" ht="14.25" customHeight="1" x14ac:dyDescent="0.55000000000000004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</row>
    <row r="157" spans="1:23" ht="14.25" customHeight="1" x14ac:dyDescent="0.55000000000000004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</row>
    <row r="158" spans="1:23" ht="14.25" customHeight="1" x14ac:dyDescent="0.55000000000000004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</row>
    <row r="159" spans="1:23" ht="14.25" customHeight="1" x14ac:dyDescent="0.55000000000000004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</row>
    <row r="160" spans="1:23" ht="14.25" customHeight="1" x14ac:dyDescent="0.55000000000000004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</row>
    <row r="161" spans="1:23" ht="14.25" customHeight="1" x14ac:dyDescent="0.55000000000000004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</row>
    <row r="162" spans="1:23" ht="14.25" customHeight="1" x14ac:dyDescent="0.55000000000000004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</row>
    <row r="163" spans="1:23" ht="14.25" customHeight="1" x14ac:dyDescent="0.55000000000000004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</row>
    <row r="164" spans="1:23" ht="14.25" customHeight="1" x14ac:dyDescent="0.5500000000000000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</row>
    <row r="165" spans="1:23" ht="14.25" customHeight="1" x14ac:dyDescent="0.55000000000000004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</row>
    <row r="166" spans="1:23" ht="14.25" customHeight="1" x14ac:dyDescent="0.55000000000000004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</row>
    <row r="167" spans="1:23" ht="14.25" customHeight="1" x14ac:dyDescent="0.55000000000000004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</row>
    <row r="168" spans="1:23" ht="14.25" customHeight="1" x14ac:dyDescent="0.55000000000000004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</row>
    <row r="169" spans="1:23" ht="14.25" customHeight="1" x14ac:dyDescent="0.55000000000000004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</row>
    <row r="170" spans="1:23" ht="14.25" customHeight="1" x14ac:dyDescent="0.55000000000000004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</row>
    <row r="171" spans="1:23" ht="14.25" customHeight="1" x14ac:dyDescent="0.55000000000000004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</row>
    <row r="172" spans="1:23" ht="14.25" customHeight="1" x14ac:dyDescent="0.55000000000000004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</row>
    <row r="173" spans="1:23" ht="14.25" customHeight="1" x14ac:dyDescent="0.55000000000000004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</row>
    <row r="174" spans="1:23" ht="14.25" customHeight="1" x14ac:dyDescent="0.5500000000000000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</row>
    <row r="175" spans="1:23" ht="14.25" customHeight="1" x14ac:dyDescent="0.55000000000000004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</row>
    <row r="176" spans="1:23" ht="14.25" customHeight="1" x14ac:dyDescent="0.55000000000000004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</row>
    <row r="177" spans="1:23" ht="14.25" customHeight="1" x14ac:dyDescent="0.55000000000000004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</row>
    <row r="178" spans="1:23" ht="14.25" customHeight="1" x14ac:dyDescent="0.55000000000000004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</row>
    <row r="179" spans="1:23" ht="14.25" customHeight="1" x14ac:dyDescent="0.55000000000000004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</row>
    <row r="180" spans="1:23" ht="14.25" customHeight="1" x14ac:dyDescent="0.55000000000000004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</row>
    <row r="181" spans="1:23" ht="14.25" customHeight="1" x14ac:dyDescent="0.55000000000000004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</row>
    <row r="182" spans="1:23" ht="14.25" customHeight="1" x14ac:dyDescent="0.55000000000000004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</row>
    <row r="183" spans="1:23" ht="14.25" customHeight="1" x14ac:dyDescent="0.55000000000000004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</row>
    <row r="184" spans="1:23" ht="14.25" customHeight="1" x14ac:dyDescent="0.5500000000000000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</row>
    <row r="185" spans="1:23" ht="14.25" customHeight="1" x14ac:dyDescent="0.55000000000000004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</row>
    <row r="186" spans="1:23" ht="14.25" customHeight="1" x14ac:dyDescent="0.55000000000000004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</row>
    <row r="187" spans="1:23" ht="14.25" customHeight="1" x14ac:dyDescent="0.55000000000000004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</row>
    <row r="188" spans="1:23" ht="14.25" customHeight="1" x14ac:dyDescent="0.55000000000000004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</row>
    <row r="189" spans="1:23" ht="14.25" customHeight="1" x14ac:dyDescent="0.55000000000000004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</row>
    <row r="190" spans="1:23" ht="14.25" customHeight="1" x14ac:dyDescent="0.55000000000000004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</row>
    <row r="191" spans="1:23" ht="14.25" customHeight="1" x14ac:dyDescent="0.55000000000000004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</row>
    <row r="192" spans="1:23" ht="14.25" customHeight="1" x14ac:dyDescent="0.55000000000000004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</row>
    <row r="193" spans="1:23" ht="14.25" customHeight="1" x14ac:dyDescent="0.55000000000000004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</row>
    <row r="194" spans="1:23" ht="14.25" customHeight="1" x14ac:dyDescent="0.5500000000000000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</row>
    <row r="195" spans="1:23" ht="14.25" customHeight="1" x14ac:dyDescent="0.55000000000000004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</row>
    <row r="196" spans="1:23" ht="14.25" customHeight="1" x14ac:dyDescent="0.55000000000000004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</row>
    <row r="197" spans="1:23" ht="14.25" customHeight="1" x14ac:dyDescent="0.55000000000000004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</row>
    <row r="198" spans="1:23" ht="14.25" customHeight="1" x14ac:dyDescent="0.55000000000000004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</row>
    <row r="199" spans="1:23" ht="14.25" customHeight="1" x14ac:dyDescent="0.55000000000000004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</row>
    <row r="200" spans="1:23" ht="14.25" customHeight="1" x14ac:dyDescent="0.55000000000000004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</row>
    <row r="201" spans="1:23" ht="14.25" customHeight="1" x14ac:dyDescent="0.55000000000000004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</row>
    <row r="202" spans="1:23" ht="14.25" customHeight="1" x14ac:dyDescent="0.55000000000000004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</row>
    <row r="203" spans="1:23" ht="14.25" customHeight="1" x14ac:dyDescent="0.55000000000000004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</row>
    <row r="204" spans="1:23" ht="14.25" customHeight="1" x14ac:dyDescent="0.550000000000000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</row>
    <row r="205" spans="1:23" ht="14.25" customHeight="1" x14ac:dyDescent="0.55000000000000004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</row>
    <row r="206" spans="1:23" ht="14.25" customHeight="1" x14ac:dyDescent="0.55000000000000004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</row>
    <row r="207" spans="1:23" ht="14.25" customHeight="1" x14ac:dyDescent="0.55000000000000004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</row>
    <row r="208" spans="1:23" ht="14.25" customHeight="1" x14ac:dyDescent="0.55000000000000004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</row>
    <row r="209" spans="1:23" ht="14.25" customHeight="1" x14ac:dyDescent="0.55000000000000004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</row>
    <row r="210" spans="1:23" ht="14.25" customHeight="1" x14ac:dyDescent="0.55000000000000004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</row>
    <row r="211" spans="1:23" ht="14.25" customHeight="1" x14ac:dyDescent="0.55000000000000004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</row>
    <row r="212" spans="1:23" ht="14.25" customHeight="1" x14ac:dyDescent="0.55000000000000004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</row>
    <row r="213" spans="1:23" ht="14.25" customHeight="1" x14ac:dyDescent="0.55000000000000004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</row>
    <row r="214" spans="1:23" ht="14.25" customHeight="1" x14ac:dyDescent="0.5500000000000000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</row>
    <row r="215" spans="1:23" ht="14.25" customHeight="1" x14ac:dyDescent="0.55000000000000004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</row>
    <row r="216" spans="1:23" ht="14.25" customHeight="1" x14ac:dyDescent="0.55000000000000004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</row>
    <row r="217" spans="1:23" ht="14.25" customHeight="1" x14ac:dyDescent="0.55000000000000004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</row>
    <row r="218" spans="1:23" ht="14.25" customHeight="1" x14ac:dyDescent="0.55000000000000004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</row>
    <row r="219" spans="1:23" ht="14.25" customHeight="1" x14ac:dyDescent="0.55000000000000004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</row>
    <row r="220" spans="1:23" ht="14.25" customHeight="1" x14ac:dyDescent="0.55000000000000004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</row>
    <row r="221" spans="1:23" ht="14.25" customHeight="1" x14ac:dyDescent="0.55000000000000004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</row>
    <row r="222" spans="1:23" ht="14.25" customHeight="1" x14ac:dyDescent="0.55000000000000004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</row>
    <row r="223" spans="1:23" ht="14.25" customHeight="1" x14ac:dyDescent="0.55000000000000004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</row>
    <row r="224" spans="1:23" ht="14.25" customHeight="1" x14ac:dyDescent="0.5500000000000000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</row>
    <row r="225" spans="1:23" ht="14.25" customHeight="1" x14ac:dyDescent="0.55000000000000004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</row>
    <row r="226" spans="1:23" ht="14.25" customHeight="1" x14ac:dyDescent="0.55000000000000004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</row>
    <row r="227" spans="1:23" ht="14.25" customHeight="1" x14ac:dyDescent="0.55000000000000004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</row>
    <row r="228" spans="1:23" ht="14.25" customHeight="1" x14ac:dyDescent="0.55000000000000004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</row>
    <row r="229" spans="1:23" ht="14.25" customHeight="1" x14ac:dyDescent="0.55000000000000004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</row>
    <row r="230" spans="1:23" ht="14.25" customHeight="1" x14ac:dyDescent="0.55000000000000004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</row>
    <row r="231" spans="1:23" ht="14.25" customHeight="1" x14ac:dyDescent="0.55000000000000004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</row>
    <row r="232" spans="1:23" ht="14.25" customHeight="1" x14ac:dyDescent="0.55000000000000004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</row>
    <row r="233" spans="1:23" ht="14.25" customHeight="1" x14ac:dyDescent="0.55000000000000004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</row>
    <row r="234" spans="1:23" ht="14.25" customHeight="1" x14ac:dyDescent="0.5500000000000000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</row>
    <row r="235" spans="1:23" ht="14.25" customHeight="1" x14ac:dyDescent="0.55000000000000004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</row>
    <row r="236" spans="1:23" ht="14.25" customHeight="1" x14ac:dyDescent="0.55000000000000004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</row>
    <row r="237" spans="1:23" ht="14.25" customHeight="1" x14ac:dyDescent="0.55000000000000004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</row>
    <row r="238" spans="1:23" ht="14.25" customHeight="1" x14ac:dyDescent="0.55000000000000004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</row>
    <row r="239" spans="1:23" ht="14.25" customHeight="1" x14ac:dyDescent="0.55000000000000004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</row>
    <row r="240" spans="1:23" ht="14.25" customHeight="1" x14ac:dyDescent="0.55000000000000004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</row>
    <row r="241" spans="1:23" ht="14.25" customHeight="1" x14ac:dyDescent="0.55000000000000004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</row>
    <row r="242" spans="1:23" ht="14.25" customHeight="1" x14ac:dyDescent="0.55000000000000004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</row>
    <row r="243" spans="1:23" ht="14.25" customHeight="1" x14ac:dyDescent="0.55000000000000004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</row>
    <row r="244" spans="1:23" ht="14.25" customHeight="1" x14ac:dyDescent="0.5500000000000000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</row>
    <row r="245" spans="1:23" ht="14.25" customHeight="1" x14ac:dyDescent="0.55000000000000004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</row>
    <row r="246" spans="1:23" ht="14.25" customHeight="1" x14ac:dyDescent="0.55000000000000004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</row>
    <row r="247" spans="1:23" ht="14.25" customHeight="1" x14ac:dyDescent="0.55000000000000004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</row>
    <row r="248" spans="1:23" ht="14.25" customHeight="1" x14ac:dyDescent="0.55000000000000004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</row>
    <row r="249" spans="1:23" ht="14.25" customHeight="1" x14ac:dyDescent="0.55000000000000004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</row>
    <row r="250" spans="1:23" ht="14.25" customHeight="1" x14ac:dyDescent="0.55000000000000004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</row>
    <row r="251" spans="1:23" ht="14.25" customHeight="1" x14ac:dyDescent="0.55000000000000004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</row>
    <row r="252" spans="1:23" ht="14.25" customHeight="1" x14ac:dyDescent="0.55000000000000004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</row>
    <row r="253" spans="1:23" ht="14.25" customHeight="1" x14ac:dyDescent="0.55000000000000004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</row>
    <row r="254" spans="1:23" ht="14.25" customHeight="1" x14ac:dyDescent="0.5500000000000000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</row>
    <row r="255" spans="1:23" ht="14.25" customHeight="1" x14ac:dyDescent="0.55000000000000004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</row>
    <row r="256" spans="1:23" ht="14.25" customHeight="1" x14ac:dyDescent="0.55000000000000004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</row>
    <row r="257" spans="1:23" ht="14.25" customHeight="1" x14ac:dyDescent="0.55000000000000004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</row>
    <row r="258" spans="1:23" ht="14.25" customHeight="1" x14ac:dyDescent="0.55000000000000004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</row>
    <row r="259" spans="1:23" ht="14.25" customHeight="1" x14ac:dyDescent="0.55000000000000004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</row>
    <row r="260" spans="1:23" ht="14.25" customHeight="1" x14ac:dyDescent="0.55000000000000004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</row>
    <row r="261" spans="1:23" ht="14.25" customHeight="1" x14ac:dyDescent="0.55000000000000004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</row>
    <row r="262" spans="1:23" ht="14.25" customHeight="1" x14ac:dyDescent="0.55000000000000004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</row>
    <row r="263" spans="1:23" ht="14.25" customHeight="1" x14ac:dyDescent="0.55000000000000004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</row>
    <row r="264" spans="1:23" ht="14.25" customHeight="1" x14ac:dyDescent="0.5500000000000000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</row>
    <row r="265" spans="1:23" ht="14.25" customHeight="1" x14ac:dyDescent="0.55000000000000004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</row>
    <row r="266" spans="1:23" ht="14.25" customHeight="1" x14ac:dyDescent="0.55000000000000004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</row>
    <row r="267" spans="1:23" ht="14.25" customHeight="1" x14ac:dyDescent="0.55000000000000004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</row>
    <row r="268" spans="1:23" ht="14.25" customHeight="1" x14ac:dyDescent="0.55000000000000004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</row>
    <row r="269" spans="1:23" ht="14.25" customHeight="1" x14ac:dyDescent="0.55000000000000004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</row>
    <row r="270" spans="1:23" ht="14.25" customHeight="1" x14ac:dyDescent="0.55000000000000004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</row>
    <row r="271" spans="1:23" ht="14.25" customHeight="1" x14ac:dyDescent="0.55000000000000004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</row>
    <row r="272" spans="1:23" ht="14.25" customHeight="1" x14ac:dyDescent="0.55000000000000004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</row>
    <row r="273" spans="1:23" ht="14.25" customHeight="1" x14ac:dyDescent="0.55000000000000004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</row>
    <row r="274" spans="1:23" ht="14.25" customHeight="1" x14ac:dyDescent="0.5500000000000000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</row>
    <row r="275" spans="1:23" ht="14.25" customHeight="1" x14ac:dyDescent="0.55000000000000004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</row>
    <row r="276" spans="1:23" ht="14.25" customHeight="1" x14ac:dyDescent="0.55000000000000004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</row>
    <row r="277" spans="1:23" ht="14.25" customHeight="1" x14ac:dyDescent="0.55000000000000004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</row>
    <row r="278" spans="1:23" ht="14.25" customHeight="1" x14ac:dyDescent="0.55000000000000004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</row>
    <row r="279" spans="1:23" ht="14.25" customHeight="1" x14ac:dyDescent="0.55000000000000004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</row>
    <row r="280" spans="1:23" ht="14.25" customHeight="1" x14ac:dyDescent="0.55000000000000004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</row>
    <row r="281" spans="1:23" ht="14.25" customHeight="1" x14ac:dyDescent="0.55000000000000004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</row>
    <row r="282" spans="1:23" ht="14.25" customHeight="1" x14ac:dyDescent="0.55000000000000004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</row>
    <row r="283" spans="1:23" ht="14.25" customHeight="1" x14ac:dyDescent="0.55000000000000004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</row>
    <row r="284" spans="1:23" ht="14.25" customHeight="1" x14ac:dyDescent="0.5500000000000000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</row>
    <row r="285" spans="1:23" ht="14.25" customHeight="1" x14ac:dyDescent="0.55000000000000004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</row>
    <row r="286" spans="1:23" ht="14.25" customHeight="1" x14ac:dyDescent="0.55000000000000004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</row>
    <row r="287" spans="1:23" ht="14.25" customHeight="1" x14ac:dyDescent="0.55000000000000004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</row>
    <row r="288" spans="1:23" ht="14.25" customHeight="1" x14ac:dyDescent="0.55000000000000004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</row>
    <row r="289" spans="1:23" ht="14.25" customHeight="1" x14ac:dyDescent="0.55000000000000004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</row>
    <row r="290" spans="1:23" ht="14.25" customHeight="1" x14ac:dyDescent="0.55000000000000004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</row>
    <row r="291" spans="1:23" ht="14.25" customHeight="1" x14ac:dyDescent="0.55000000000000004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</row>
    <row r="292" spans="1:23" ht="14.25" customHeight="1" x14ac:dyDescent="0.55000000000000004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</row>
    <row r="293" spans="1:23" ht="14.25" customHeight="1" x14ac:dyDescent="0.55000000000000004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</row>
    <row r="294" spans="1:23" ht="14.25" customHeight="1" x14ac:dyDescent="0.5500000000000000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</row>
    <row r="295" spans="1:23" ht="14.25" customHeight="1" x14ac:dyDescent="0.55000000000000004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</row>
    <row r="296" spans="1:23" ht="14.25" customHeight="1" x14ac:dyDescent="0.55000000000000004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</row>
    <row r="297" spans="1:23" ht="14.25" customHeight="1" x14ac:dyDescent="0.55000000000000004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</row>
    <row r="298" spans="1:23" ht="14.25" customHeight="1" x14ac:dyDescent="0.55000000000000004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</row>
    <row r="299" spans="1:23" ht="14.25" customHeight="1" x14ac:dyDescent="0.55000000000000004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</row>
    <row r="300" spans="1:23" ht="14.25" customHeight="1" x14ac:dyDescent="0.55000000000000004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</row>
    <row r="301" spans="1:23" ht="14.25" customHeight="1" x14ac:dyDescent="0.55000000000000004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</row>
    <row r="302" spans="1:23" ht="14.25" customHeight="1" x14ac:dyDescent="0.55000000000000004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</row>
    <row r="303" spans="1:23" ht="14.25" customHeight="1" x14ac:dyDescent="0.55000000000000004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</row>
    <row r="304" spans="1:23" ht="14.25" customHeight="1" x14ac:dyDescent="0.550000000000000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</row>
    <row r="305" spans="1:23" ht="14.25" customHeight="1" x14ac:dyDescent="0.55000000000000004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</row>
    <row r="306" spans="1:23" ht="14.25" customHeight="1" x14ac:dyDescent="0.55000000000000004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</row>
    <row r="307" spans="1:23" ht="14.25" customHeight="1" x14ac:dyDescent="0.55000000000000004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</row>
    <row r="308" spans="1:23" ht="14.25" customHeight="1" x14ac:dyDescent="0.55000000000000004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</row>
    <row r="309" spans="1:23" ht="14.25" customHeight="1" x14ac:dyDescent="0.55000000000000004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</row>
    <row r="310" spans="1:23" ht="14.25" customHeight="1" x14ac:dyDescent="0.55000000000000004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</row>
    <row r="311" spans="1:23" ht="14.25" customHeight="1" x14ac:dyDescent="0.55000000000000004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</row>
    <row r="312" spans="1:23" ht="14.25" customHeight="1" x14ac:dyDescent="0.55000000000000004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</row>
    <row r="313" spans="1:23" ht="14.25" customHeight="1" x14ac:dyDescent="0.55000000000000004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</row>
    <row r="314" spans="1:23" ht="14.25" customHeight="1" x14ac:dyDescent="0.5500000000000000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</row>
    <row r="315" spans="1:23" ht="14.25" customHeight="1" x14ac:dyDescent="0.55000000000000004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</row>
    <row r="316" spans="1:23" ht="14.25" customHeight="1" x14ac:dyDescent="0.55000000000000004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</row>
    <row r="317" spans="1:23" ht="14.25" customHeight="1" x14ac:dyDescent="0.55000000000000004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</row>
    <row r="318" spans="1:23" ht="14.25" customHeight="1" x14ac:dyDescent="0.55000000000000004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</row>
    <row r="319" spans="1:23" ht="14.25" customHeight="1" x14ac:dyDescent="0.55000000000000004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</row>
    <row r="320" spans="1:23" ht="14.25" customHeight="1" x14ac:dyDescent="0.55000000000000004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</row>
    <row r="321" spans="1:23" ht="14.25" customHeight="1" x14ac:dyDescent="0.55000000000000004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</row>
    <row r="322" spans="1:23" ht="14.25" customHeight="1" x14ac:dyDescent="0.55000000000000004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</row>
    <row r="323" spans="1:23" ht="14.25" customHeight="1" x14ac:dyDescent="0.55000000000000004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</row>
    <row r="324" spans="1:23" ht="14.25" customHeight="1" x14ac:dyDescent="0.5500000000000000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</row>
    <row r="325" spans="1:23" ht="14.25" customHeight="1" x14ac:dyDescent="0.55000000000000004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</row>
    <row r="326" spans="1:23" ht="14.25" customHeight="1" x14ac:dyDescent="0.55000000000000004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</row>
    <row r="327" spans="1:23" ht="14.25" customHeight="1" x14ac:dyDescent="0.55000000000000004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</row>
    <row r="328" spans="1:23" ht="14.25" customHeight="1" x14ac:dyDescent="0.55000000000000004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</row>
    <row r="329" spans="1:23" ht="14.25" customHeight="1" x14ac:dyDescent="0.55000000000000004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</row>
    <row r="330" spans="1:23" ht="14.25" customHeight="1" x14ac:dyDescent="0.55000000000000004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</row>
    <row r="331" spans="1:23" ht="14.25" customHeight="1" x14ac:dyDescent="0.55000000000000004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</row>
    <row r="332" spans="1:23" ht="14.25" customHeight="1" x14ac:dyDescent="0.55000000000000004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</row>
    <row r="333" spans="1:23" ht="14.25" customHeight="1" x14ac:dyDescent="0.55000000000000004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</row>
    <row r="334" spans="1:23" ht="14.25" customHeight="1" x14ac:dyDescent="0.5500000000000000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</row>
    <row r="335" spans="1:23" ht="14.25" customHeight="1" x14ac:dyDescent="0.55000000000000004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</row>
    <row r="336" spans="1:23" ht="14.25" customHeight="1" x14ac:dyDescent="0.55000000000000004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</row>
    <row r="337" spans="1:23" ht="14.25" customHeight="1" x14ac:dyDescent="0.55000000000000004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</row>
    <row r="338" spans="1:23" ht="14.25" customHeight="1" x14ac:dyDescent="0.55000000000000004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</row>
    <row r="339" spans="1:23" ht="14.25" customHeight="1" x14ac:dyDescent="0.55000000000000004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</row>
    <row r="340" spans="1:23" ht="14.25" customHeight="1" x14ac:dyDescent="0.55000000000000004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</row>
    <row r="341" spans="1:23" ht="14.25" customHeight="1" x14ac:dyDescent="0.55000000000000004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</row>
    <row r="342" spans="1:23" ht="14.25" customHeight="1" x14ac:dyDescent="0.55000000000000004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</row>
    <row r="343" spans="1:23" ht="14.25" customHeight="1" x14ac:dyDescent="0.55000000000000004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</row>
    <row r="344" spans="1:23" ht="14.25" customHeight="1" x14ac:dyDescent="0.5500000000000000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</row>
    <row r="345" spans="1:23" ht="14.25" customHeight="1" x14ac:dyDescent="0.55000000000000004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</row>
    <row r="346" spans="1:23" ht="14.25" customHeight="1" x14ac:dyDescent="0.55000000000000004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</row>
    <row r="347" spans="1:23" ht="14.25" customHeight="1" x14ac:dyDescent="0.55000000000000004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</row>
    <row r="348" spans="1:23" ht="14.25" customHeight="1" x14ac:dyDescent="0.55000000000000004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</row>
    <row r="349" spans="1:23" ht="14.25" customHeight="1" x14ac:dyDescent="0.55000000000000004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</row>
    <row r="350" spans="1:23" ht="14.25" customHeight="1" x14ac:dyDescent="0.55000000000000004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</row>
    <row r="351" spans="1:23" ht="14.25" customHeight="1" x14ac:dyDescent="0.55000000000000004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</row>
    <row r="352" spans="1:23" ht="14.25" customHeight="1" x14ac:dyDescent="0.55000000000000004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</row>
    <row r="353" spans="1:23" ht="14.25" customHeight="1" x14ac:dyDescent="0.55000000000000004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</row>
    <row r="354" spans="1:23" ht="14.25" customHeight="1" x14ac:dyDescent="0.5500000000000000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</row>
    <row r="355" spans="1:23" ht="14.25" customHeight="1" x14ac:dyDescent="0.55000000000000004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</row>
    <row r="356" spans="1:23" ht="14.25" customHeight="1" x14ac:dyDescent="0.55000000000000004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</row>
    <row r="357" spans="1:23" ht="14.25" customHeight="1" x14ac:dyDescent="0.55000000000000004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</row>
    <row r="358" spans="1:23" ht="14.25" customHeight="1" x14ac:dyDescent="0.55000000000000004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</row>
    <row r="359" spans="1:23" ht="14.25" customHeight="1" x14ac:dyDescent="0.55000000000000004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</row>
    <row r="360" spans="1:23" ht="14.25" customHeight="1" x14ac:dyDescent="0.55000000000000004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</row>
    <row r="361" spans="1:23" ht="14.25" customHeight="1" x14ac:dyDescent="0.55000000000000004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</row>
    <row r="362" spans="1:23" ht="14.25" customHeight="1" x14ac:dyDescent="0.55000000000000004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</row>
    <row r="363" spans="1:23" ht="14.25" customHeight="1" x14ac:dyDescent="0.55000000000000004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</row>
    <row r="364" spans="1:23" ht="14.25" customHeight="1" x14ac:dyDescent="0.5500000000000000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</row>
    <row r="365" spans="1:23" ht="14.25" customHeight="1" x14ac:dyDescent="0.55000000000000004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</row>
    <row r="366" spans="1:23" ht="14.25" customHeight="1" x14ac:dyDescent="0.55000000000000004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</row>
    <row r="367" spans="1:23" ht="14.25" customHeight="1" x14ac:dyDescent="0.55000000000000004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</row>
    <row r="368" spans="1:23" ht="14.25" customHeight="1" x14ac:dyDescent="0.55000000000000004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</row>
    <row r="369" spans="1:23" ht="14.25" customHeight="1" x14ac:dyDescent="0.55000000000000004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</row>
    <row r="370" spans="1:23" ht="14.25" customHeight="1" x14ac:dyDescent="0.55000000000000004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</row>
    <row r="371" spans="1:23" ht="14.25" customHeight="1" x14ac:dyDescent="0.55000000000000004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</row>
    <row r="372" spans="1:23" ht="14.25" customHeight="1" x14ac:dyDescent="0.55000000000000004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</row>
    <row r="373" spans="1:23" ht="14.25" customHeight="1" x14ac:dyDescent="0.55000000000000004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</row>
    <row r="374" spans="1:23" ht="14.25" customHeight="1" x14ac:dyDescent="0.5500000000000000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</row>
    <row r="375" spans="1:23" ht="14.25" customHeight="1" x14ac:dyDescent="0.55000000000000004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</row>
    <row r="376" spans="1:23" ht="14.25" customHeight="1" x14ac:dyDescent="0.55000000000000004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</row>
    <row r="377" spans="1:23" ht="14.25" customHeight="1" x14ac:dyDescent="0.55000000000000004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</row>
    <row r="378" spans="1:23" ht="14.25" customHeight="1" x14ac:dyDescent="0.55000000000000004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</row>
    <row r="379" spans="1:23" ht="14.25" customHeight="1" x14ac:dyDescent="0.55000000000000004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</row>
    <row r="380" spans="1:23" ht="14.25" customHeight="1" x14ac:dyDescent="0.55000000000000004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</row>
    <row r="381" spans="1:23" ht="14.25" customHeight="1" x14ac:dyDescent="0.55000000000000004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</row>
    <row r="382" spans="1:23" ht="14.25" customHeight="1" x14ac:dyDescent="0.55000000000000004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</row>
    <row r="383" spans="1:23" ht="14.25" customHeight="1" x14ac:dyDescent="0.55000000000000004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</row>
    <row r="384" spans="1:23" ht="14.25" customHeight="1" x14ac:dyDescent="0.5500000000000000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</row>
    <row r="385" spans="1:23" ht="14.25" customHeight="1" x14ac:dyDescent="0.55000000000000004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</row>
    <row r="386" spans="1:23" ht="14.25" customHeight="1" x14ac:dyDescent="0.55000000000000004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</row>
    <row r="387" spans="1:23" ht="14.25" customHeight="1" x14ac:dyDescent="0.55000000000000004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</row>
    <row r="388" spans="1:23" ht="14.25" customHeight="1" x14ac:dyDescent="0.55000000000000004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</row>
    <row r="389" spans="1:23" ht="14.25" customHeight="1" x14ac:dyDescent="0.55000000000000004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</row>
    <row r="390" spans="1:23" ht="14.25" customHeight="1" x14ac:dyDescent="0.55000000000000004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</row>
    <row r="391" spans="1:23" ht="14.25" customHeight="1" x14ac:dyDescent="0.55000000000000004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</row>
    <row r="392" spans="1:23" ht="14.25" customHeight="1" x14ac:dyDescent="0.55000000000000004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</row>
    <row r="393" spans="1:23" ht="14.25" customHeight="1" x14ac:dyDescent="0.55000000000000004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</row>
    <row r="394" spans="1:23" ht="14.25" customHeight="1" x14ac:dyDescent="0.5500000000000000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</row>
    <row r="395" spans="1:23" ht="14.25" customHeight="1" x14ac:dyDescent="0.55000000000000004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</row>
    <row r="396" spans="1:23" ht="14.25" customHeight="1" x14ac:dyDescent="0.55000000000000004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</row>
    <row r="397" spans="1:23" ht="14.25" customHeight="1" x14ac:dyDescent="0.55000000000000004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</row>
    <row r="398" spans="1:23" ht="14.25" customHeight="1" x14ac:dyDescent="0.55000000000000004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</row>
    <row r="399" spans="1:23" ht="14.25" customHeight="1" x14ac:dyDescent="0.55000000000000004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</row>
    <row r="400" spans="1:23" ht="14.25" customHeight="1" x14ac:dyDescent="0.55000000000000004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</row>
    <row r="401" spans="1:23" ht="14.25" customHeight="1" x14ac:dyDescent="0.55000000000000004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</row>
    <row r="402" spans="1:23" ht="14.25" customHeight="1" x14ac:dyDescent="0.55000000000000004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</row>
    <row r="403" spans="1:23" ht="14.25" customHeight="1" x14ac:dyDescent="0.55000000000000004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</row>
    <row r="404" spans="1:23" ht="14.25" customHeight="1" x14ac:dyDescent="0.550000000000000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</row>
    <row r="405" spans="1:23" ht="14.25" customHeight="1" x14ac:dyDescent="0.55000000000000004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</row>
    <row r="406" spans="1:23" ht="14.25" customHeight="1" x14ac:dyDescent="0.55000000000000004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</row>
    <row r="407" spans="1:23" ht="14.25" customHeight="1" x14ac:dyDescent="0.55000000000000004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</row>
    <row r="408" spans="1:23" ht="14.25" customHeight="1" x14ac:dyDescent="0.55000000000000004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</row>
    <row r="409" spans="1:23" ht="14.25" customHeight="1" x14ac:dyDescent="0.55000000000000004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</row>
    <row r="410" spans="1:23" ht="14.25" customHeight="1" x14ac:dyDescent="0.55000000000000004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</row>
    <row r="411" spans="1:23" ht="14.25" customHeight="1" x14ac:dyDescent="0.55000000000000004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</row>
    <row r="412" spans="1:23" ht="14.25" customHeight="1" x14ac:dyDescent="0.55000000000000004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</row>
    <row r="413" spans="1:23" ht="14.25" customHeight="1" x14ac:dyDescent="0.55000000000000004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</row>
    <row r="414" spans="1:23" ht="14.25" customHeight="1" x14ac:dyDescent="0.5500000000000000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</row>
    <row r="415" spans="1:23" ht="14.25" customHeight="1" x14ac:dyDescent="0.55000000000000004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</row>
    <row r="416" spans="1:23" ht="14.25" customHeight="1" x14ac:dyDescent="0.55000000000000004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</row>
    <row r="417" spans="1:23" ht="14.25" customHeight="1" x14ac:dyDescent="0.55000000000000004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</row>
    <row r="418" spans="1:23" ht="14.25" customHeight="1" x14ac:dyDescent="0.55000000000000004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</row>
    <row r="419" spans="1:23" ht="14.25" customHeight="1" x14ac:dyDescent="0.55000000000000004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</row>
    <row r="420" spans="1:23" ht="14.25" customHeight="1" x14ac:dyDescent="0.55000000000000004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</row>
    <row r="421" spans="1:23" ht="14.25" customHeight="1" x14ac:dyDescent="0.55000000000000004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</row>
    <row r="422" spans="1:23" ht="14.25" customHeight="1" x14ac:dyDescent="0.55000000000000004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</row>
    <row r="423" spans="1:23" ht="14.25" customHeight="1" x14ac:dyDescent="0.55000000000000004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</row>
    <row r="424" spans="1:23" ht="14.25" customHeight="1" x14ac:dyDescent="0.5500000000000000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</row>
    <row r="425" spans="1:23" ht="14.25" customHeight="1" x14ac:dyDescent="0.55000000000000004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</row>
    <row r="426" spans="1:23" ht="14.25" customHeight="1" x14ac:dyDescent="0.55000000000000004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</row>
    <row r="427" spans="1:23" ht="14.25" customHeight="1" x14ac:dyDescent="0.55000000000000004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</row>
    <row r="428" spans="1:23" ht="14.25" customHeight="1" x14ac:dyDescent="0.55000000000000004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</row>
    <row r="429" spans="1:23" ht="14.25" customHeight="1" x14ac:dyDescent="0.55000000000000004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</row>
    <row r="430" spans="1:23" ht="14.25" customHeight="1" x14ac:dyDescent="0.55000000000000004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</row>
    <row r="431" spans="1:23" ht="14.25" customHeight="1" x14ac:dyDescent="0.55000000000000004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</row>
    <row r="432" spans="1:23" ht="14.25" customHeight="1" x14ac:dyDescent="0.55000000000000004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</row>
    <row r="433" spans="1:23" ht="14.25" customHeight="1" x14ac:dyDescent="0.55000000000000004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</row>
    <row r="434" spans="1:23" ht="14.25" customHeight="1" x14ac:dyDescent="0.5500000000000000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</row>
    <row r="435" spans="1:23" ht="14.25" customHeight="1" x14ac:dyDescent="0.55000000000000004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</row>
    <row r="436" spans="1:23" ht="14.25" customHeight="1" x14ac:dyDescent="0.55000000000000004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</row>
    <row r="437" spans="1:23" ht="14.25" customHeight="1" x14ac:dyDescent="0.55000000000000004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</row>
    <row r="438" spans="1:23" ht="14.25" customHeight="1" x14ac:dyDescent="0.55000000000000004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</row>
    <row r="439" spans="1:23" ht="14.25" customHeight="1" x14ac:dyDescent="0.55000000000000004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</row>
    <row r="440" spans="1:23" ht="14.25" customHeight="1" x14ac:dyDescent="0.55000000000000004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</row>
    <row r="441" spans="1:23" ht="14.25" customHeight="1" x14ac:dyDescent="0.55000000000000004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</row>
    <row r="442" spans="1:23" ht="14.25" customHeight="1" x14ac:dyDescent="0.55000000000000004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</row>
    <row r="443" spans="1:23" ht="14.25" customHeight="1" x14ac:dyDescent="0.55000000000000004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</row>
    <row r="444" spans="1:23" ht="14.25" customHeight="1" x14ac:dyDescent="0.5500000000000000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</row>
    <row r="445" spans="1:23" ht="14.25" customHeight="1" x14ac:dyDescent="0.55000000000000004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</row>
    <row r="446" spans="1:23" ht="14.25" customHeight="1" x14ac:dyDescent="0.55000000000000004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</row>
    <row r="447" spans="1:23" ht="14.25" customHeight="1" x14ac:dyDescent="0.55000000000000004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</row>
    <row r="448" spans="1:23" ht="14.25" customHeight="1" x14ac:dyDescent="0.55000000000000004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</row>
    <row r="449" spans="1:23" ht="14.25" customHeight="1" x14ac:dyDescent="0.55000000000000004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</row>
    <row r="450" spans="1:23" ht="14.25" customHeight="1" x14ac:dyDescent="0.55000000000000004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</row>
    <row r="451" spans="1:23" ht="14.25" customHeight="1" x14ac:dyDescent="0.55000000000000004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</row>
    <row r="452" spans="1:23" ht="14.25" customHeight="1" x14ac:dyDescent="0.55000000000000004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</row>
    <row r="453" spans="1:23" ht="14.25" customHeight="1" x14ac:dyDescent="0.55000000000000004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</row>
    <row r="454" spans="1:23" ht="14.25" customHeight="1" x14ac:dyDescent="0.5500000000000000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</row>
    <row r="455" spans="1:23" ht="14.25" customHeight="1" x14ac:dyDescent="0.55000000000000004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</row>
    <row r="456" spans="1:23" ht="14.25" customHeight="1" x14ac:dyDescent="0.55000000000000004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</row>
    <row r="457" spans="1:23" ht="14.25" customHeight="1" x14ac:dyDescent="0.55000000000000004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</row>
    <row r="458" spans="1:23" ht="14.25" customHeight="1" x14ac:dyDescent="0.55000000000000004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</row>
    <row r="459" spans="1:23" ht="14.25" customHeight="1" x14ac:dyDescent="0.55000000000000004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</row>
    <row r="460" spans="1:23" ht="14.25" customHeight="1" x14ac:dyDescent="0.55000000000000004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</row>
    <row r="461" spans="1:23" ht="14.25" customHeight="1" x14ac:dyDescent="0.55000000000000004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</row>
    <row r="462" spans="1:23" ht="14.25" customHeight="1" x14ac:dyDescent="0.55000000000000004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</row>
    <row r="463" spans="1:23" ht="14.25" customHeight="1" x14ac:dyDescent="0.55000000000000004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</row>
    <row r="464" spans="1:23" ht="14.25" customHeight="1" x14ac:dyDescent="0.5500000000000000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</row>
    <row r="465" spans="1:23" ht="14.25" customHeight="1" x14ac:dyDescent="0.55000000000000004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</row>
    <row r="466" spans="1:23" ht="14.25" customHeight="1" x14ac:dyDescent="0.55000000000000004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</row>
    <row r="467" spans="1:23" ht="14.25" customHeight="1" x14ac:dyDescent="0.55000000000000004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</row>
    <row r="468" spans="1:23" ht="14.25" customHeight="1" x14ac:dyDescent="0.55000000000000004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</row>
    <row r="469" spans="1:23" ht="14.25" customHeight="1" x14ac:dyDescent="0.55000000000000004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</row>
    <row r="470" spans="1:23" ht="14.25" customHeight="1" x14ac:dyDescent="0.55000000000000004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</row>
    <row r="471" spans="1:23" ht="14.25" customHeight="1" x14ac:dyDescent="0.55000000000000004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</row>
    <row r="472" spans="1:23" ht="14.25" customHeight="1" x14ac:dyDescent="0.55000000000000004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</row>
    <row r="473" spans="1:23" ht="14.25" customHeight="1" x14ac:dyDescent="0.55000000000000004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</row>
    <row r="474" spans="1:23" ht="14.25" customHeight="1" x14ac:dyDescent="0.5500000000000000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</row>
    <row r="475" spans="1:23" ht="14.25" customHeight="1" x14ac:dyDescent="0.55000000000000004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</row>
    <row r="476" spans="1:23" ht="14.25" customHeight="1" x14ac:dyDescent="0.55000000000000004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</row>
    <row r="477" spans="1:23" ht="14.25" customHeight="1" x14ac:dyDescent="0.55000000000000004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</row>
    <row r="478" spans="1:23" ht="14.25" customHeight="1" x14ac:dyDescent="0.55000000000000004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</row>
    <row r="479" spans="1:23" ht="14.25" customHeight="1" x14ac:dyDescent="0.55000000000000004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</row>
    <row r="480" spans="1:23" ht="14.25" customHeight="1" x14ac:dyDescent="0.55000000000000004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</row>
    <row r="481" spans="1:23" ht="14.25" customHeight="1" x14ac:dyDescent="0.55000000000000004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</row>
    <row r="482" spans="1:23" ht="14.25" customHeight="1" x14ac:dyDescent="0.55000000000000004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</row>
    <row r="483" spans="1:23" ht="14.25" customHeight="1" x14ac:dyDescent="0.55000000000000004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</row>
    <row r="484" spans="1:23" ht="14.25" customHeight="1" x14ac:dyDescent="0.5500000000000000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</row>
    <row r="485" spans="1:23" ht="14.25" customHeight="1" x14ac:dyDescent="0.55000000000000004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</row>
    <row r="486" spans="1:23" ht="14.25" customHeight="1" x14ac:dyDescent="0.55000000000000004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</row>
    <row r="487" spans="1:23" ht="14.25" customHeight="1" x14ac:dyDescent="0.55000000000000004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</row>
    <row r="488" spans="1:23" ht="14.25" customHeight="1" x14ac:dyDescent="0.55000000000000004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</row>
    <row r="489" spans="1:23" ht="14.25" customHeight="1" x14ac:dyDescent="0.55000000000000004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</row>
    <row r="490" spans="1:23" ht="14.25" customHeight="1" x14ac:dyDescent="0.55000000000000004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</row>
    <row r="491" spans="1:23" ht="14.25" customHeight="1" x14ac:dyDescent="0.55000000000000004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</row>
    <row r="492" spans="1:23" ht="14.25" customHeight="1" x14ac:dyDescent="0.55000000000000004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</row>
    <row r="493" spans="1:23" ht="14.25" customHeight="1" x14ac:dyDescent="0.55000000000000004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</row>
    <row r="494" spans="1:23" ht="14.25" customHeight="1" x14ac:dyDescent="0.5500000000000000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</row>
    <row r="495" spans="1:23" ht="14.25" customHeight="1" x14ac:dyDescent="0.55000000000000004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</row>
    <row r="496" spans="1:23" ht="14.25" customHeight="1" x14ac:dyDescent="0.55000000000000004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</row>
    <row r="497" spans="1:23" ht="14.25" customHeight="1" x14ac:dyDescent="0.55000000000000004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</row>
    <row r="498" spans="1:23" ht="14.25" customHeight="1" x14ac:dyDescent="0.55000000000000004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</row>
    <row r="499" spans="1:23" ht="14.25" customHeight="1" x14ac:dyDescent="0.55000000000000004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</row>
    <row r="500" spans="1:23" ht="14.25" customHeight="1" x14ac:dyDescent="0.55000000000000004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</row>
    <row r="501" spans="1:23" ht="14.25" customHeight="1" x14ac:dyDescent="0.55000000000000004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</row>
    <row r="502" spans="1:23" ht="14.25" customHeight="1" x14ac:dyDescent="0.55000000000000004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</row>
    <row r="503" spans="1:23" ht="14.25" customHeight="1" x14ac:dyDescent="0.55000000000000004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</row>
    <row r="504" spans="1:23" ht="14.25" customHeight="1" x14ac:dyDescent="0.550000000000000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</row>
    <row r="505" spans="1:23" ht="14.25" customHeight="1" x14ac:dyDescent="0.55000000000000004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</row>
    <row r="506" spans="1:23" ht="14.25" customHeight="1" x14ac:dyDescent="0.55000000000000004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</row>
    <row r="507" spans="1:23" ht="14.25" customHeight="1" x14ac:dyDescent="0.55000000000000004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</row>
    <row r="508" spans="1:23" ht="14.25" customHeight="1" x14ac:dyDescent="0.55000000000000004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</row>
    <row r="509" spans="1:23" ht="14.25" customHeight="1" x14ac:dyDescent="0.55000000000000004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</row>
    <row r="510" spans="1:23" ht="14.25" customHeight="1" x14ac:dyDescent="0.55000000000000004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</row>
    <row r="511" spans="1:23" ht="14.25" customHeight="1" x14ac:dyDescent="0.55000000000000004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</row>
    <row r="512" spans="1:23" ht="14.25" customHeight="1" x14ac:dyDescent="0.55000000000000004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</row>
    <row r="513" spans="1:23" ht="14.25" customHeight="1" x14ac:dyDescent="0.55000000000000004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</row>
    <row r="514" spans="1:23" ht="14.25" customHeight="1" x14ac:dyDescent="0.5500000000000000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</row>
    <row r="515" spans="1:23" ht="14.25" customHeight="1" x14ac:dyDescent="0.55000000000000004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</row>
    <row r="516" spans="1:23" ht="14.25" customHeight="1" x14ac:dyDescent="0.55000000000000004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</row>
    <row r="517" spans="1:23" ht="14.25" customHeight="1" x14ac:dyDescent="0.55000000000000004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</row>
    <row r="518" spans="1:23" ht="14.25" customHeight="1" x14ac:dyDescent="0.55000000000000004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</row>
    <row r="519" spans="1:23" ht="14.25" customHeight="1" x14ac:dyDescent="0.55000000000000004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</row>
    <row r="520" spans="1:23" ht="14.25" customHeight="1" x14ac:dyDescent="0.55000000000000004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</row>
    <row r="521" spans="1:23" ht="14.25" customHeight="1" x14ac:dyDescent="0.55000000000000004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</row>
    <row r="522" spans="1:23" ht="14.25" customHeight="1" x14ac:dyDescent="0.55000000000000004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</row>
    <row r="523" spans="1:23" ht="14.25" customHeight="1" x14ac:dyDescent="0.55000000000000004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</row>
    <row r="524" spans="1:23" ht="14.25" customHeight="1" x14ac:dyDescent="0.5500000000000000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</row>
    <row r="525" spans="1:23" ht="14.25" customHeight="1" x14ac:dyDescent="0.55000000000000004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</row>
    <row r="526" spans="1:23" ht="14.25" customHeight="1" x14ac:dyDescent="0.55000000000000004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</row>
    <row r="527" spans="1:23" ht="14.25" customHeight="1" x14ac:dyDescent="0.55000000000000004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</row>
    <row r="528" spans="1:23" ht="14.25" customHeight="1" x14ac:dyDescent="0.55000000000000004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</row>
    <row r="529" spans="1:23" ht="14.25" customHeight="1" x14ac:dyDescent="0.55000000000000004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</row>
    <row r="530" spans="1:23" ht="14.25" customHeight="1" x14ac:dyDescent="0.55000000000000004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</row>
    <row r="531" spans="1:23" ht="14.25" customHeight="1" x14ac:dyDescent="0.55000000000000004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</row>
    <row r="532" spans="1:23" ht="14.25" customHeight="1" x14ac:dyDescent="0.55000000000000004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</row>
    <row r="533" spans="1:23" ht="14.25" customHeight="1" x14ac:dyDescent="0.55000000000000004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</row>
    <row r="534" spans="1:23" ht="14.25" customHeight="1" x14ac:dyDescent="0.5500000000000000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</row>
    <row r="535" spans="1:23" ht="14.25" customHeight="1" x14ac:dyDescent="0.55000000000000004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</row>
    <row r="536" spans="1:23" ht="14.25" customHeight="1" x14ac:dyDescent="0.55000000000000004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</row>
    <row r="537" spans="1:23" ht="14.25" customHeight="1" x14ac:dyDescent="0.55000000000000004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</row>
    <row r="538" spans="1:23" ht="14.25" customHeight="1" x14ac:dyDescent="0.55000000000000004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</row>
    <row r="539" spans="1:23" ht="14.25" customHeight="1" x14ac:dyDescent="0.55000000000000004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</row>
    <row r="540" spans="1:23" ht="14.25" customHeight="1" x14ac:dyDescent="0.55000000000000004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</row>
    <row r="541" spans="1:23" ht="14.25" customHeight="1" x14ac:dyDescent="0.55000000000000004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</row>
    <row r="542" spans="1:23" ht="14.25" customHeight="1" x14ac:dyDescent="0.55000000000000004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</row>
    <row r="543" spans="1:23" ht="14.25" customHeight="1" x14ac:dyDescent="0.55000000000000004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</row>
    <row r="544" spans="1:23" ht="14.25" customHeight="1" x14ac:dyDescent="0.5500000000000000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</row>
    <row r="545" spans="1:23" ht="14.25" customHeight="1" x14ac:dyDescent="0.55000000000000004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</row>
    <row r="546" spans="1:23" ht="14.25" customHeight="1" x14ac:dyDescent="0.55000000000000004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</row>
    <row r="547" spans="1:23" ht="14.25" customHeight="1" x14ac:dyDescent="0.55000000000000004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</row>
    <row r="548" spans="1:23" ht="14.25" customHeight="1" x14ac:dyDescent="0.55000000000000004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</row>
    <row r="549" spans="1:23" ht="14.25" customHeight="1" x14ac:dyDescent="0.55000000000000004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</row>
    <row r="550" spans="1:23" ht="14.25" customHeight="1" x14ac:dyDescent="0.55000000000000004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</row>
    <row r="551" spans="1:23" ht="14.25" customHeight="1" x14ac:dyDescent="0.55000000000000004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</row>
    <row r="552" spans="1:23" ht="14.25" customHeight="1" x14ac:dyDescent="0.55000000000000004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</row>
    <row r="553" spans="1:23" ht="14.25" customHeight="1" x14ac:dyDescent="0.55000000000000004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</row>
    <row r="554" spans="1:23" ht="14.25" customHeight="1" x14ac:dyDescent="0.5500000000000000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</row>
    <row r="555" spans="1:23" ht="14.25" customHeight="1" x14ac:dyDescent="0.55000000000000004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</row>
    <row r="556" spans="1:23" ht="14.25" customHeight="1" x14ac:dyDescent="0.55000000000000004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</row>
    <row r="557" spans="1:23" ht="14.25" customHeight="1" x14ac:dyDescent="0.55000000000000004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</row>
    <row r="558" spans="1:23" ht="14.25" customHeight="1" x14ac:dyDescent="0.55000000000000004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</row>
    <row r="559" spans="1:23" ht="14.25" customHeight="1" x14ac:dyDescent="0.55000000000000004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</row>
    <row r="560" spans="1:23" ht="14.25" customHeight="1" x14ac:dyDescent="0.55000000000000004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</row>
    <row r="561" spans="1:23" ht="14.25" customHeight="1" x14ac:dyDescent="0.55000000000000004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</row>
    <row r="562" spans="1:23" ht="14.25" customHeight="1" x14ac:dyDescent="0.55000000000000004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</row>
    <row r="563" spans="1:23" ht="14.25" customHeight="1" x14ac:dyDescent="0.55000000000000004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</row>
    <row r="564" spans="1:23" ht="14.25" customHeight="1" x14ac:dyDescent="0.5500000000000000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</row>
    <row r="565" spans="1:23" ht="14.25" customHeight="1" x14ac:dyDescent="0.55000000000000004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</row>
    <row r="566" spans="1:23" ht="14.25" customHeight="1" x14ac:dyDescent="0.55000000000000004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</row>
    <row r="567" spans="1:23" ht="14.25" customHeight="1" x14ac:dyDescent="0.55000000000000004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</row>
    <row r="568" spans="1:23" ht="14.25" customHeight="1" x14ac:dyDescent="0.55000000000000004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</row>
    <row r="569" spans="1:23" ht="14.25" customHeight="1" x14ac:dyDescent="0.55000000000000004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</row>
    <row r="570" spans="1:23" ht="14.25" customHeight="1" x14ac:dyDescent="0.55000000000000004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</row>
    <row r="571" spans="1:23" ht="14.25" customHeight="1" x14ac:dyDescent="0.55000000000000004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</row>
    <row r="572" spans="1:23" ht="14.25" customHeight="1" x14ac:dyDescent="0.55000000000000004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</row>
    <row r="573" spans="1:23" ht="14.25" customHeight="1" x14ac:dyDescent="0.55000000000000004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</row>
    <row r="574" spans="1:23" ht="14.25" customHeight="1" x14ac:dyDescent="0.5500000000000000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</row>
    <row r="575" spans="1:23" ht="14.25" customHeight="1" x14ac:dyDescent="0.55000000000000004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</row>
    <row r="576" spans="1:23" ht="14.25" customHeight="1" x14ac:dyDescent="0.55000000000000004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</row>
    <row r="577" spans="1:23" ht="14.25" customHeight="1" x14ac:dyDescent="0.55000000000000004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</row>
    <row r="578" spans="1:23" ht="14.25" customHeight="1" x14ac:dyDescent="0.55000000000000004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</row>
    <row r="579" spans="1:23" ht="14.25" customHeight="1" x14ac:dyDescent="0.55000000000000004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</row>
    <row r="580" spans="1:23" ht="14.25" customHeight="1" x14ac:dyDescent="0.55000000000000004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</row>
    <row r="581" spans="1:23" ht="14.25" customHeight="1" x14ac:dyDescent="0.55000000000000004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</row>
    <row r="582" spans="1:23" ht="14.25" customHeight="1" x14ac:dyDescent="0.55000000000000004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</row>
    <row r="583" spans="1:23" ht="14.25" customHeight="1" x14ac:dyDescent="0.55000000000000004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</row>
    <row r="584" spans="1:23" ht="14.25" customHeight="1" x14ac:dyDescent="0.5500000000000000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</row>
    <row r="585" spans="1:23" ht="14.25" customHeight="1" x14ac:dyDescent="0.55000000000000004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</row>
    <row r="586" spans="1:23" ht="14.25" customHeight="1" x14ac:dyDescent="0.55000000000000004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</row>
    <row r="587" spans="1:23" ht="14.25" customHeight="1" x14ac:dyDescent="0.55000000000000004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</row>
    <row r="588" spans="1:23" ht="14.25" customHeight="1" x14ac:dyDescent="0.55000000000000004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</row>
    <row r="589" spans="1:23" ht="14.25" customHeight="1" x14ac:dyDescent="0.55000000000000004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</row>
    <row r="590" spans="1:23" ht="14.25" customHeight="1" x14ac:dyDescent="0.55000000000000004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</row>
    <row r="591" spans="1:23" ht="14.25" customHeight="1" x14ac:dyDescent="0.55000000000000004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</row>
    <row r="592" spans="1:23" ht="14.25" customHeight="1" x14ac:dyDescent="0.55000000000000004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</row>
    <row r="593" spans="1:23" ht="14.25" customHeight="1" x14ac:dyDescent="0.55000000000000004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</row>
    <row r="594" spans="1:23" ht="14.25" customHeight="1" x14ac:dyDescent="0.5500000000000000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</row>
    <row r="595" spans="1:23" ht="14.25" customHeight="1" x14ac:dyDescent="0.55000000000000004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</row>
    <row r="596" spans="1:23" ht="14.25" customHeight="1" x14ac:dyDescent="0.55000000000000004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</row>
    <row r="597" spans="1:23" ht="14.25" customHeight="1" x14ac:dyDescent="0.55000000000000004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</row>
    <row r="598" spans="1:23" ht="14.25" customHeight="1" x14ac:dyDescent="0.55000000000000004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</row>
    <row r="599" spans="1:23" ht="14.25" customHeight="1" x14ac:dyDescent="0.55000000000000004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</row>
    <row r="600" spans="1:23" ht="14.25" customHeight="1" x14ac:dyDescent="0.55000000000000004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</row>
    <row r="601" spans="1:23" ht="14.25" customHeight="1" x14ac:dyDescent="0.55000000000000004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</row>
    <row r="602" spans="1:23" ht="14.25" customHeight="1" x14ac:dyDescent="0.55000000000000004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</row>
    <row r="603" spans="1:23" ht="14.25" customHeight="1" x14ac:dyDescent="0.55000000000000004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</row>
    <row r="604" spans="1:23" ht="14.25" customHeight="1" x14ac:dyDescent="0.550000000000000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</row>
    <row r="605" spans="1:23" ht="14.25" customHeight="1" x14ac:dyDescent="0.55000000000000004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</row>
    <row r="606" spans="1:23" ht="14.25" customHeight="1" x14ac:dyDescent="0.55000000000000004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</row>
    <row r="607" spans="1:23" ht="14.25" customHeight="1" x14ac:dyDescent="0.55000000000000004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</row>
    <row r="608" spans="1:23" ht="14.25" customHeight="1" x14ac:dyDescent="0.55000000000000004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</row>
    <row r="609" spans="1:23" ht="14.25" customHeight="1" x14ac:dyDescent="0.55000000000000004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</row>
    <row r="610" spans="1:23" ht="14.25" customHeight="1" x14ac:dyDescent="0.55000000000000004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</row>
    <row r="611" spans="1:23" ht="14.25" customHeight="1" x14ac:dyDescent="0.55000000000000004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</row>
    <row r="612" spans="1:23" ht="14.25" customHeight="1" x14ac:dyDescent="0.55000000000000004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</row>
    <row r="613" spans="1:23" ht="14.25" customHeight="1" x14ac:dyDescent="0.55000000000000004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</row>
    <row r="614" spans="1:23" ht="14.25" customHeight="1" x14ac:dyDescent="0.5500000000000000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</row>
    <row r="615" spans="1:23" ht="14.25" customHeight="1" x14ac:dyDescent="0.55000000000000004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</row>
    <row r="616" spans="1:23" ht="14.25" customHeight="1" x14ac:dyDescent="0.55000000000000004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</row>
    <row r="617" spans="1:23" ht="14.25" customHeight="1" x14ac:dyDescent="0.55000000000000004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</row>
    <row r="618" spans="1:23" ht="14.25" customHeight="1" x14ac:dyDescent="0.55000000000000004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</row>
    <row r="619" spans="1:23" ht="14.25" customHeight="1" x14ac:dyDescent="0.55000000000000004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</row>
    <row r="620" spans="1:23" ht="14.25" customHeight="1" x14ac:dyDescent="0.55000000000000004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</row>
    <row r="621" spans="1:23" ht="14.25" customHeight="1" x14ac:dyDescent="0.55000000000000004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</row>
    <row r="622" spans="1:23" ht="14.25" customHeight="1" x14ac:dyDescent="0.55000000000000004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</row>
    <row r="623" spans="1:23" ht="14.25" customHeight="1" x14ac:dyDescent="0.55000000000000004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</row>
    <row r="624" spans="1:23" ht="14.25" customHeight="1" x14ac:dyDescent="0.5500000000000000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</row>
    <row r="625" spans="1:23" ht="14.25" customHeight="1" x14ac:dyDescent="0.55000000000000004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</row>
    <row r="626" spans="1:23" ht="14.25" customHeight="1" x14ac:dyDescent="0.55000000000000004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</row>
    <row r="627" spans="1:23" ht="14.25" customHeight="1" x14ac:dyDescent="0.55000000000000004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</row>
    <row r="628" spans="1:23" ht="14.25" customHeight="1" x14ac:dyDescent="0.55000000000000004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</row>
    <row r="629" spans="1:23" ht="14.25" customHeight="1" x14ac:dyDescent="0.55000000000000004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</row>
    <row r="630" spans="1:23" ht="14.25" customHeight="1" x14ac:dyDescent="0.55000000000000004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</row>
    <row r="631" spans="1:23" ht="14.25" customHeight="1" x14ac:dyDescent="0.55000000000000004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</row>
    <row r="632" spans="1:23" ht="14.25" customHeight="1" x14ac:dyDescent="0.55000000000000004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</row>
    <row r="633" spans="1:23" ht="14.25" customHeight="1" x14ac:dyDescent="0.55000000000000004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</row>
    <row r="634" spans="1:23" ht="14.25" customHeight="1" x14ac:dyDescent="0.5500000000000000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</row>
    <row r="635" spans="1:23" ht="14.25" customHeight="1" x14ac:dyDescent="0.55000000000000004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</row>
    <row r="636" spans="1:23" ht="14.25" customHeight="1" x14ac:dyDescent="0.55000000000000004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</row>
    <row r="637" spans="1:23" ht="14.25" customHeight="1" x14ac:dyDescent="0.55000000000000004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</row>
    <row r="638" spans="1:23" ht="14.25" customHeight="1" x14ac:dyDescent="0.55000000000000004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</row>
    <row r="639" spans="1:23" ht="14.25" customHeight="1" x14ac:dyDescent="0.55000000000000004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</row>
    <row r="640" spans="1:23" ht="14.25" customHeight="1" x14ac:dyDescent="0.55000000000000004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</row>
    <row r="641" spans="1:23" ht="14.25" customHeight="1" x14ac:dyDescent="0.55000000000000004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</row>
    <row r="642" spans="1:23" ht="14.25" customHeight="1" x14ac:dyDescent="0.55000000000000004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</row>
    <row r="643" spans="1:23" ht="14.25" customHeight="1" x14ac:dyDescent="0.55000000000000004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</row>
    <row r="644" spans="1:23" ht="14.25" customHeight="1" x14ac:dyDescent="0.5500000000000000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</row>
    <row r="645" spans="1:23" ht="14.25" customHeight="1" x14ac:dyDescent="0.55000000000000004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</row>
    <row r="646" spans="1:23" ht="14.25" customHeight="1" x14ac:dyDescent="0.55000000000000004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</row>
    <row r="647" spans="1:23" ht="14.25" customHeight="1" x14ac:dyDescent="0.55000000000000004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</row>
    <row r="648" spans="1:23" ht="14.25" customHeight="1" x14ac:dyDescent="0.55000000000000004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</row>
    <row r="649" spans="1:23" ht="14.25" customHeight="1" x14ac:dyDescent="0.55000000000000004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</row>
    <row r="650" spans="1:23" ht="14.25" customHeight="1" x14ac:dyDescent="0.55000000000000004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</row>
    <row r="651" spans="1:23" ht="14.25" customHeight="1" x14ac:dyDescent="0.55000000000000004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</row>
    <row r="652" spans="1:23" ht="14.25" customHeight="1" x14ac:dyDescent="0.55000000000000004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</row>
    <row r="653" spans="1:23" ht="14.25" customHeight="1" x14ac:dyDescent="0.55000000000000004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</row>
    <row r="654" spans="1:23" ht="14.25" customHeight="1" x14ac:dyDescent="0.5500000000000000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</row>
    <row r="655" spans="1:23" ht="14.25" customHeight="1" x14ac:dyDescent="0.55000000000000004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</row>
    <row r="656" spans="1:23" ht="14.25" customHeight="1" x14ac:dyDescent="0.55000000000000004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</row>
    <row r="657" spans="1:23" ht="14.25" customHeight="1" x14ac:dyDescent="0.55000000000000004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</row>
    <row r="658" spans="1:23" ht="14.25" customHeight="1" x14ac:dyDescent="0.55000000000000004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</row>
    <row r="659" spans="1:23" ht="14.25" customHeight="1" x14ac:dyDescent="0.55000000000000004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</row>
    <row r="660" spans="1:23" ht="14.25" customHeight="1" x14ac:dyDescent="0.55000000000000004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</row>
    <row r="661" spans="1:23" ht="14.25" customHeight="1" x14ac:dyDescent="0.55000000000000004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</row>
    <row r="662" spans="1:23" ht="14.25" customHeight="1" x14ac:dyDescent="0.55000000000000004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</row>
    <row r="663" spans="1:23" ht="14.25" customHeight="1" x14ac:dyDescent="0.55000000000000004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</row>
    <row r="664" spans="1:23" ht="14.25" customHeight="1" x14ac:dyDescent="0.5500000000000000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</row>
    <row r="665" spans="1:23" ht="14.25" customHeight="1" x14ac:dyDescent="0.55000000000000004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</row>
    <row r="666" spans="1:23" ht="14.25" customHeight="1" x14ac:dyDescent="0.55000000000000004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</row>
    <row r="667" spans="1:23" ht="14.25" customHeight="1" x14ac:dyDescent="0.55000000000000004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</row>
    <row r="668" spans="1:23" ht="14.25" customHeight="1" x14ac:dyDescent="0.55000000000000004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</row>
    <row r="669" spans="1:23" ht="14.25" customHeight="1" x14ac:dyDescent="0.55000000000000004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</row>
    <row r="670" spans="1:23" ht="14.25" customHeight="1" x14ac:dyDescent="0.55000000000000004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</row>
    <row r="671" spans="1:23" ht="14.25" customHeight="1" x14ac:dyDescent="0.55000000000000004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</row>
    <row r="672" spans="1:23" ht="14.25" customHeight="1" x14ac:dyDescent="0.55000000000000004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</row>
    <row r="673" spans="1:23" ht="14.25" customHeight="1" x14ac:dyDescent="0.55000000000000004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</row>
    <row r="674" spans="1:23" ht="14.25" customHeight="1" x14ac:dyDescent="0.5500000000000000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</row>
    <row r="675" spans="1:23" ht="14.25" customHeight="1" x14ac:dyDescent="0.55000000000000004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</row>
    <row r="676" spans="1:23" ht="14.25" customHeight="1" x14ac:dyDescent="0.55000000000000004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</row>
    <row r="677" spans="1:23" ht="14.25" customHeight="1" x14ac:dyDescent="0.55000000000000004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</row>
    <row r="678" spans="1:23" ht="14.25" customHeight="1" x14ac:dyDescent="0.55000000000000004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</row>
    <row r="679" spans="1:23" ht="14.25" customHeight="1" x14ac:dyDescent="0.55000000000000004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</row>
    <row r="680" spans="1:23" ht="14.25" customHeight="1" x14ac:dyDescent="0.55000000000000004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</row>
    <row r="681" spans="1:23" ht="14.25" customHeight="1" x14ac:dyDescent="0.55000000000000004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</row>
    <row r="682" spans="1:23" ht="14.25" customHeight="1" x14ac:dyDescent="0.55000000000000004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</row>
    <row r="683" spans="1:23" ht="14.25" customHeight="1" x14ac:dyDescent="0.55000000000000004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</row>
    <row r="684" spans="1:23" ht="14.25" customHeight="1" x14ac:dyDescent="0.5500000000000000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</row>
    <row r="685" spans="1:23" ht="14.25" customHeight="1" x14ac:dyDescent="0.55000000000000004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</row>
    <row r="686" spans="1:23" ht="14.25" customHeight="1" x14ac:dyDescent="0.55000000000000004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</row>
    <row r="687" spans="1:23" ht="14.25" customHeight="1" x14ac:dyDescent="0.55000000000000004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</row>
    <row r="688" spans="1:23" ht="14.25" customHeight="1" x14ac:dyDescent="0.55000000000000004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</row>
    <row r="689" spans="1:23" ht="14.25" customHeight="1" x14ac:dyDescent="0.55000000000000004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</row>
    <row r="690" spans="1:23" ht="14.25" customHeight="1" x14ac:dyDescent="0.55000000000000004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</row>
    <row r="691" spans="1:23" ht="14.25" customHeight="1" x14ac:dyDescent="0.55000000000000004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</row>
    <row r="692" spans="1:23" ht="14.25" customHeight="1" x14ac:dyDescent="0.55000000000000004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</row>
    <row r="693" spans="1:23" ht="14.25" customHeight="1" x14ac:dyDescent="0.55000000000000004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</row>
    <row r="694" spans="1:23" ht="14.25" customHeight="1" x14ac:dyDescent="0.5500000000000000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</row>
    <row r="695" spans="1:23" ht="14.25" customHeight="1" x14ac:dyDescent="0.55000000000000004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</row>
    <row r="696" spans="1:23" ht="14.25" customHeight="1" x14ac:dyDescent="0.55000000000000004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</row>
    <row r="697" spans="1:23" ht="14.25" customHeight="1" x14ac:dyDescent="0.55000000000000004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</row>
    <row r="698" spans="1:23" ht="14.25" customHeight="1" x14ac:dyDescent="0.55000000000000004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</row>
    <row r="699" spans="1:23" ht="14.25" customHeight="1" x14ac:dyDescent="0.55000000000000004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</row>
    <row r="700" spans="1:23" ht="14.25" customHeight="1" x14ac:dyDescent="0.55000000000000004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</row>
    <row r="701" spans="1:23" ht="14.25" customHeight="1" x14ac:dyDescent="0.55000000000000004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</row>
    <row r="702" spans="1:23" ht="14.25" customHeight="1" x14ac:dyDescent="0.55000000000000004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</row>
    <row r="703" spans="1:23" ht="14.25" customHeight="1" x14ac:dyDescent="0.55000000000000004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</row>
    <row r="704" spans="1:23" ht="14.25" customHeight="1" x14ac:dyDescent="0.550000000000000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</row>
    <row r="705" spans="1:23" ht="14.25" customHeight="1" x14ac:dyDescent="0.55000000000000004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</row>
    <row r="706" spans="1:23" ht="14.25" customHeight="1" x14ac:dyDescent="0.55000000000000004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</row>
    <row r="707" spans="1:23" ht="14.25" customHeight="1" x14ac:dyDescent="0.55000000000000004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</row>
    <row r="708" spans="1:23" ht="14.25" customHeight="1" x14ac:dyDescent="0.55000000000000004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</row>
    <row r="709" spans="1:23" ht="14.25" customHeight="1" x14ac:dyDescent="0.55000000000000004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</row>
    <row r="710" spans="1:23" ht="14.25" customHeight="1" x14ac:dyDescent="0.55000000000000004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</row>
    <row r="711" spans="1:23" ht="14.25" customHeight="1" x14ac:dyDescent="0.55000000000000004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</row>
    <row r="712" spans="1:23" ht="14.25" customHeight="1" x14ac:dyDescent="0.55000000000000004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</row>
    <row r="713" spans="1:23" ht="14.25" customHeight="1" x14ac:dyDescent="0.55000000000000004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</row>
    <row r="714" spans="1:23" ht="14.25" customHeight="1" x14ac:dyDescent="0.5500000000000000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</row>
    <row r="715" spans="1:23" ht="14.25" customHeight="1" x14ac:dyDescent="0.55000000000000004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</row>
    <row r="716" spans="1:23" ht="14.25" customHeight="1" x14ac:dyDescent="0.55000000000000004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</row>
    <row r="717" spans="1:23" ht="14.25" customHeight="1" x14ac:dyDescent="0.55000000000000004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</row>
    <row r="718" spans="1:23" ht="14.25" customHeight="1" x14ac:dyDescent="0.55000000000000004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</row>
    <row r="719" spans="1:23" ht="14.25" customHeight="1" x14ac:dyDescent="0.55000000000000004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</row>
    <row r="720" spans="1:23" ht="14.25" customHeight="1" x14ac:dyDescent="0.55000000000000004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</row>
    <row r="721" spans="1:23" ht="14.25" customHeight="1" x14ac:dyDescent="0.55000000000000004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</row>
    <row r="722" spans="1:23" ht="14.25" customHeight="1" x14ac:dyDescent="0.55000000000000004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</row>
    <row r="723" spans="1:23" ht="14.25" customHeight="1" x14ac:dyDescent="0.55000000000000004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</row>
    <row r="724" spans="1:23" ht="14.25" customHeight="1" x14ac:dyDescent="0.5500000000000000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</row>
    <row r="725" spans="1:23" ht="14.25" customHeight="1" x14ac:dyDescent="0.55000000000000004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</row>
    <row r="726" spans="1:23" ht="14.25" customHeight="1" x14ac:dyDescent="0.55000000000000004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</row>
    <row r="727" spans="1:23" ht="14.25" customHeight="1" x14ac:dyDescent="0.55000000000000004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</row>
    <row r="728" spans="1:23" ht="14.25" customHeight="1" x14ac:dyDescent="0.55000000000000004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</row>
    <row r="729" spans="1:23" ht="14.25" customHeight="1" x14ac:dyDescent="0.55000000000000004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</row>
    <row r="730" spans="1:23" ht="14.25" customHeight="1" x14ac:dyDescent="0.55000000000000004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</row>
    <row r="731" spans="1:23" ht="14.25" customHeight="1" x14ac:dyDescent="0.55000000000000004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</row>
    <row r="732" spans="1:23" ht="14.25" customHeight="1" x14ac:dyDescent="0.55000000000000004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</row>
    <row r="733" spans="1:23" ht="14.25" customHeight="1" x14ac:dyDescent="0.55000000000000004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</row>
    <row r="734" spans="1:23" ht="14.25" customHeight="1" x14ac:dyDescent="0.5500000000000000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</row>
    <row r="735" spans="1:23" ht="14.25" customHeight="1" x14ac:dyDescent="0.55000000000000004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</row>
    <row r="736" spans="1:23" ht="14.25" customHeight="1" x14ac:dyDescent="0.55000000000000004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</row>
    <row r="737" spans="1:23" ht="14.25" customHeight="1" x14ac:dyDescent="0.55000000000000004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</row>
    <row r="738" spans="1:23" ht="14.25" customHeight="1" x14ac:dyDescent="0.55000000000000004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</row>
    <row r="739" spans="1:23" ht="14.25" customHeight="1" x14ac:dyDescent="0.55000000000000004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</row>
    <row r="740" spans="1:23" ht="14.25" customHeight="1" x14ac:dyDescent="0.55000000000000004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</row>
    <row r="741" spans="1:23" ht="14.25" customHeight="1" x14ac:dyDescent="0.55000000000000004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</row>
    <row r="742" spans="1:23" ht="14.25" customHeight="1" x14ac:dyDescent="0.55000000000000004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</row>
    <row r="743" spans="1:23" ht="14.25" customHeight="1" x14ac:dyDescent="0.55000000000000004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</row>
    <row r="744" spans="1:23" ht="14.25" customHeight="1" x14ac:dyDescent="0.5500000000000000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</row>
    <row r="745" spans="1:23" ht="14.25" customHeight="1" x14ac:dyDescent="0.55000000000000004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</row>
    <row r="746" spans="1:23" ht="14.25" customHeight="1" x14ac:dyDescent="0.55000000000000004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</row>
    <row r="747" spans="1:23" ht="14.25" customHeight="1" x14ac:dyDescent="0.55000000000000004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</row>
    <row r="748" spans="1:23" ht="14.25" customHeight="1" x14ac:dyDescent="0.55000000000000004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</row>
    <row r="749" spans="1:23" ht="14.25" customHeight="1" x14ac:dyDescent="0.55000000000000004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</row>
    <row r="750" spans="1:23" ht="14.25" customHeight="1" x14ac:dyDescent="0.55000000000000004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</row>
    <row r="751" spans="1:23" ht="14.25" customHeight="1" x14ac:dyDescent="0.55000000000000004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</row>
    <row r="752" spans="1:23" ht="14.25" customHeight="1" x14ac:dyDescent="0.55000000000000004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</row>
    <row r="753" spans="1:23" ht="14.25" customHeight="1" x14ac:dyDescent="0.55000000000000004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</row>
    <row r="754" spans="1:23" ht="14.25" customHeight="1" x14ac:dyDescent="0.5500000000000000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</row>
    <row r="755" spans="1:23" ht="14.25" customHeight="1" x14ac:dyDescent="0.55000000000000004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</row>
    <row r="756" spans="1:23" ht="14.25" customHeight="1" x14ac:dyDescent="0.55000000000000004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</row>
    <row r="757" spans="1:23" ht="14.25" customHeight="1" x14ac:dyDescent="0.55000000000000004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</row>
    <row r="758" spans="1:23" ht="14.25" customHeight="1" x14ac:dyDescent="0.55000000000000004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</row>
    <row r="759" spans="1:23" ht="14.25" customHeight="1" x14ac:dyDescent="0.55000000000000004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</row>
    <row r="760" spans="1:23" ht="14.25" customHeight="1" x14ac:dyDescent="0.55000000000000004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</row>
    <row r="761" spans="1:23" ht="14.25" customHeight="1" x14ac:dyDescent="0.55000000000000004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</row>
    <row r="762" spans="1:23" ht="14.25" customHeight="1" x14ac:dyDescent="0.55000000000000004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</row>
    <row r="763" spans="1:23" ht="14.25" customHeight="1" x14ac:dyDescent="0.55000000000000004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</row>
    <row r="764" spans="1:23" ht="14.25" customHeight="1" x14ac:dyDescent="0.5500000000000000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</row>
    <row r="765" spans="1:23" ht="14.25" customHeight="1" x14ac:dyDescent="0.55000000000000004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</row>
    <row r="766" spans="1:23" ht="14.25" customHeight="1" x14ac:dyDescent="0.55000000000000004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</row>
    <row r="767" spans="1:23" ht="14.25" customHeight="1" x14ac:dyDescent="0.55000000000000004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</row>
    <row r="768" spans="1:23" ht="14.25" customHeight="1" x14ac:dyDescent="0.55000000000000004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</row>
    <row r="769" spans="1:23" ht="14.25" customHeight="1" x14ac:dyDescent="0.55000000000000004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</row>
    <row r="770" spans="1:23" ht="14.25" customHeight="1" x14ac:dyDescent="0.55000000000000004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</row>
    <row r="771" spans="1:23" ht="14.25" customHeight="1" x14ac:dyDescent="0.55000000000000004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</row>
    <row r="772" spans="1:23" ht="14.25" customHeight="1" x14ac:dyDescent="0.55000000000000004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</row>
    <row r="773" spans="1:23" ht="14.25" customHeight="1" x14ac:dyDescent="0.55000000000000004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</row>
    <row r="774" spans="1:23" ht="14.25" customHeight="1" x14ac:dyDescent="0.5500000000000000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</row>
    <row r="775" spans="1:23" ht="14.25" customHeight="1" x14ac:dyDescent="0.55000000000000004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</row>
    <row r="776" spans="1:23" ht="14.25" customHeight="1" x14ac:dyDescent="0.55000000000000004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</row>
    <row r="777" spans="1:23" ht="14.25" customHeight="1" x14ac:dyDescent="0.55000000000000004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</row>
    <row r="778" spans="1:23" ht="14.25" customHeight="1" x14ac:dyDescent="0.55000000000000004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</row>
    <row r="779" spans="1:23" ht="14.25" customHeight="1" x14ac:dyDescent="0.55000000000000004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</row>
    <row r="780" spans="1:23" ht="14.25" customHeight="1" x14ac:dyDescent="0.55000000000000004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</row>
    <row r="781" spans="1:23" ht="14.25" customHeight="1" x14ac:dyDescent="0.55000000000000004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</row>
    <row r="782" spans="1:23" ht="14.25" customHeight="1" x14ac:dyDescent="0.55000000000000004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</row>
    <row r="783" spans="1:23" ht="14.25" customHeight="1" x14ac:dyDescent="0.55000000000000004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</row>
    <row r="784" spans="1:23" ht="14.25" customHeight="1" x14ac:dyDescent="0.5500000000000000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</row>
    <row r="785" spans="1:23" ht="14.25" customHeight="1" x14ac:dyDescent="0.55000000000000004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</row>
    <row r="786" spans="1:23" ht="14.25" customHeight="1" x14ac:dyDescent="0.55000000000000004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</row>
    <row r="787" spans="1:23" ht="14.25" customHeight="1" x14ac:dyDescent="0.55000000000000004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</row>
    <row r="788" spans="1:23" ht="14.25" customHeight="1" x14ac:dyDescent="0.55000000000000004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</row>
    <row r="789" spans="1:23" ht="14.25" customHeight="1" x14ac:dyDescent="0.55000000000000004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</row>
    <row r="790" spans="1:23" ht="14.25" customHeight="1" x14ac:dyDescent="0.55000000000000004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</row>
    <row r="791" spans="1:23" ht="14.25" customHeight="1" x14ac:dyDescent="0.55000000000000004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</row>
    <row r="792" spans="1:23" ht="14.25" customHeight="1" x14ac:dyDescent="0.55000000000000004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</row>
    <row r="793" spans="1:23" ht="14.25" customHeight="1" x14ac:dyDescent="0.55000000000000004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</row>
    <row r="794" spans="1:23" ht="14.25" customHeight="1" x14ac:dyDescent="0.5500000000000000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</row>
    <row r="795" spans="1:23" ht="14.25" customHeight="1" x14ac:dyDescent="0.55000000000000004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</row>
    <row r="796" spans="1:23" ht="14.25" customHeight="1" x14ac:dyDescent="0.55000000000000004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</row>
    <row r="797" spans="1:23" ht="14.25" customHeight="1" x14ac:dyDescent="0.55000000000000004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</row>
    <row r="798" spans="1:23" ht="14.25" customHeight="1" x14ac:dyDescent="0.55000000000000004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</row>
    <row r="799" spans="1:23" ht="14.25" customHeight="1" x14ac:dyDescent="0.55000000000000004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</row>
    <row r="800" spans="1:23" ht="14.25" customHeight="1" x14ac:dyDescent="0.55000000000000004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</row>
    <row r="801" spans="1:23" ht="14.25" customHeight="1" x14ac:dyDescent="0.55000000000000004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</row>
    <row r="802" spans="1:23" ht="14.25" customHeight="1" x14ac:dyDescent="0.55000000000000004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</row>
    <row r="803" spans="1:23" ht="14.25" customHeight="1" x14ac:dyDescent="0.55000000000000004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</row>
    <row r="804" spans="1:23" ht="14.25" customHeight="1" x14ac:dyDescent="0.550000000000000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</row>
    <row r="805" spans="1:23" ht="14.25" customHeight="1" x14ac:dyDescent="0.55000000000000004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</row>
    <row r="806" spans="1:23" ht="14.25" customHeight="1" x14ac:dyDescent="0.55000000000000004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</row>
    <row r="807" spans="1:23" ht="14.25" customHeight="1" x14ac:dyDescent="0.55000000000000004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</row>
    <row r="808" spans="1:23" ht="14.25" customHeight="1" x14ac:dyDescent="0.55000000000000004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</row>
    <row r="809" spans="1:23" ht="14.25" customHeight="1" x14ac:dyDescent="0.55000000000000004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</row>
    <row r="810" spans="1:23" ht="14.25" customHeight="1" x14ac:dyDescent="0.55000000000000004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</row>
    <row r="811" spans="1:23" ht="14.25" customHeight="1" x14ac:dyDescent="0.55000000000000004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</row>
    <row r="812" spans="1:23" ht="14.25" customHeight="1" x14ac:dyDescent="0.55000000000000004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</row>
    <row r="813" spans="1:23" ht="14.25" customHeight="1" x14ac:dyDescent="0.55000000000000004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</row>
    <row r="814" spans="1:23" ht="14.25" customHeight="1" x14ac:dyDescent="0.5500000000000000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</row>
    <row r="815" spans="1:23" ht="14.25" customHeight="1" x14ac:dyDescent="0.55000000000000004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</row>
    <row r="816" spans="1:23" ht="14.25" customHeight="1" x14ac:dyDescent="0.55000000000000004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</row>
    <row r="817" spans="1:23" ht="14.25" customHeight="1" x14ac:dyDescent="0.55000000000000004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</row>
    <row r="818" spans="1:23" ht="14.25" customHeight="1" x14ac:dyDescent="0.55000000000000004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</row>
    <row r="819" spans="1:23" ht="14.25" customHeight="1" x14ac:dyDescent="0.55000000000000004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</row>
    <row r="820" spans="1:23" ht="14.25" customHeight="1" x14ac:dyDescent="0.55000000000000004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</row>
    <row r="821" spans="1:23" ht="14.25" customHeight="1" x14ac:dyDescent="0.55000000000000004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</row>
    <row r="822" spans="1:23" ht="14.25" customHeight="1" x14ac:dyDescent="0.55000000000000004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</row>
    <row r="823" spans="1:23" ht="14.25" customHeight="1" x14ac:dyDescent="0.55000000000000004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</row>
    <row r="824" spans="1:23" ht="14.25" customHeight="1" x14ac:dyDescent="0.5500000000000000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</row>
    <row r="825" spans="1:23" ht="14.25" customHeight="1" x14ac:dyDescent="0.55000000000000004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</row>
    <row r="826" spans="1:23" ht="14.25" customHeight="1" x14ac:dyDescent="0.55000000000000004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</row>
    <row r="827" spans="1:23" ht="14.25" customHeight="1" x14ac:dyDescent="0.55000000000000004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</row>
    <row r="828" spans="1:23" ht="14.25" customHeight="1" x14ac:dyDescent="0.55000000000000004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</row>
    <row r="829" spans="1:23" ht="14.25" customHeight="1" x14ac:dyDescent="0.55000000000000004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</row>
    <row r="830" spans="1:23" ht="14.25" customHeight="1" x14ac:dyDescent="0.55000000000000004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</row>
    <row r="831" spans="1:23" ht="14.25" customHeight="1" x14ac:dyDescent="0.55000000000000004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</row>
    <row r="832" spans="1:23" ht="14.25" customHeight="1" x14ac:dyDescent="0.55000000000000004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</row>
    <row r="833" spans="1:23" ht="14.25" customHeight="1" x14ac:dyDescent="0.55000000000000004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</row>
    <row r="834" spans="1:23" ht="14.25" customHeight="1" x14ac:dyDescent="0.5500000000000000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</row>
    <row r="835" spans="1:23" ht="14.25" customHeight="1" x14ac:dyDescent="0.55000000000000004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</row>
    <row r="836" spans="1:23" ht="14.25" customHeight="1" x14ac:dyDescent="0.55000000000000004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</row>
    <row r="837" spans="1:23" ht="14.25" customHeight="1" x14ac:dyDescent="0.55000000000000004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</row>
    <row r="838" spans="1:23" ht="14.25" customHeight="1" x14ac:dyDescent="0.55000000000000004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</row>
    <row r="839" spans="1:23" ht="14.25" customHeight="1" x14ac:dyDescent="0.55000000000000004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</row>
    <row r="840" spans="1:23" ht="14.25" customHeight="1" x14ac:dyDescent="0.55000000000000004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</row>
    <row r="841" spans="1:23" ht="14.25" customHeight="1" x14ac:dyDescent="0.55000000000000004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</row>
    <row r="842" spans="1:23" ht="14.25" customHeight="1" x14ac:dyDescent="0.55000000000000004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</row>
    <row r="843" spans="1:23" ht="14.25" customHeight="1" x14ac:dyDescent="0.55000000000000004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</row>
    <row r="844" spans="1:23" ht="14.25" customHeight="1" x14ac:dyDescent="0.5500000000000000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</row>
    <row r="845" spans="1:23" ht="14.25" customHeight="1" x14ac:dyDescent="0.55000000000000004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</row>
    <row r="846" spans="1:23" ht="14.25" customHeight="1" x14ac:dyDescent="0.55000000000000004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</row>
    <row r="847" spans="1:23" ht="14.25" customHeight="1" x14ac:dyDescent="0.55000000000000004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</row>
    <row r="848" spans="1:23" ht="14.25" customHeight="1" x14ac:dyDescent="0.55000000000000004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</row>
    <row r="849" spans="1:23" ht="14.25" customHeight="1" x14ac:dyDescent="0.55000000000000004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</row>
    <row r="850" spans="1:23" ht="14.25" customHeight="1" x14ac:dyDescent="0.55000000000000004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</row>
    <row r="851" spans="1:23" ht="14.25" customHeight="1" x14ac:dyDescent="0.55000000000000004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</row>
    <row r="852" spans="1:23" ht="14.25" customHeight="1" x14ac:dyDescent="0.55000000000000004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</row>
    <row r="853" spans="1:23" ht="14.25" customHeight="1" x14ac:dyDescent="0.55000000000000004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</row>
    <row r="854" spans="1:23" ht="14.25" customHeight="1" x14ac:dyDescent="0.5500000000000000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</row>
    <row r="855" spans="1:23" ht="14.25" customHeight="1" x14ac:dyDescent="0.55000000000000004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</row>
    <row r="856" spans="1:23" ht="14.25" customHeight="1" x14ac:dyDescent="0.55000000000000004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</row>
    <row r="857" spans="1:23" ht="14.25" customHeight="1" x14ac:dyDescent="0.55000000000000004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</row>
    <row r="858" spans="1:23" ht="14.25" customHeight="1" x14ac:dyDescent="0.55000000000000004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</row>
    <row r="859" spans="1:23" ht="14.25" customHeight="1" x14ac:dyDescent="0.55000000000000004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</row>
    <row r="860" spans="1:23" ht="14.25" customHeight="1" x14ac:dyDescent="0.55000000000000004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</row>
    <row r="861" spans="1:23" ht="14.25" customHeight="1" x14ac:dyDescent="0.55000000000000004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</row>
    <row r="862" spans="1:23" ht="14.25" customHeight="1" x14ac:dyDescent="0.55000000000000004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</row>
    <row r="863" spans="1:23" ht="14.25" customHeight="1" x14ac:dyDescent="0.55000000000000004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</row>
    <row r="864" spans="1:23" ht="14.25" customHeight="1" x14ac:dyDescent="0.5500000000000000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</row>
    <row r="865" spans="1:23" ht="14.25" customHeight="1" x14ac:dyDescent="0.55000000000000004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</row>
    <row r="866" spans="1:23" ht="14.25" customHeight="1" x14ac:dyDescent="0.55000000000000004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</row>
    <row r="867" spans="1:23" ht="14.25" customHeight="1" x14ac:dyDescent="0.55000000000000004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</row>
    <row r="868" spans="1:23" ht="14.25" customHeight="1" x14ac:dyDescent="0.55000000000000004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</row>
    <row r="869" spans="1:23" ht="14.25" customHeight="1" x14ac:dyDescent="0.55000000000000004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</row>
    <row r="870" spans="1:23" ht="14.25" customHeight="1" x14ac:dyDescent="0.55000000000000004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</row>
    <row r="871" spans="1:23" ht="14.25" customHeight="1" x14ac:dyDescent="0.55000000000000004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</row>
    <row r="872" spans="1:23" ht="14.25" customHeight="1" x14ac:dyDescent="0.55000000000000004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</row>
    <row r="873" spans="1:23" ht="14.25" customHeight="1" x14ac:dyDescent="0.55000000000000004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</row>
    <row r="874" spans="1:23" ht="14.25" customHeight="1" x14ac:dyDescent="0.5500000000000000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</row>
    <row r="875" spans="1:23" ht="14.25" customHeight="1" x14ac:dyDescent="0.55000000000000004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</row>
    <row r="876" spans="1:23" ht="14.25" customHeight="1" x14ac:dyDescent="0.55000000000000004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</row>
    <row r="877" spans="1:23" ht="14.25" customHeight="1" x14ac:dyDescent="0.55000000000000004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</row>
    <row r="878" spans="1:23" ht="14.25" customHeight="1" x14ac:dyDescent="0.55000000000000004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</row>
    <row r="879" spans="1:23" ht="14.25" customHeight="1" x14ac:dyDescent="0.55000000000000004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</row>
    <row r="880" spans="1:23" ht="14.25" customHeight="1" x14ac:dyDescent="0.55000000000000004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</row>
    <row r="881" spans="1:23" ht="14.25" customHeight="1" x14ac:dyDescent="0.55000000000000004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</row>
    <row r="882" spans="1:23" ht="14.25" customHeight="1" x14ac:dyDescent="0.55000000000000004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</row>
    <row r="883" spans="1:23" ht="14.25" customHeight="1" x14ac:dyDescent="0.55000000000000004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</row>
    <row r="884" spans="1:23" ht="14.25" customHeight="1" x14ac:dyDescent="0.5500000000000000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</row>
    <row r="885" spans="1:23" ht="14.25" customHeight="1" x14ac:dyDescent="0.55000000000000004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</row>
    <row r="886" spans="1:23" ht="14.25" customHeight="1" x14ac:dyDescent="0.55000000000000004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</row>
    <row r="887" spans="1:23" ht="14.25" customHeight="1" x14ac:dyDescent="0.55000000000000004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</row>
    <row r="888" spans="1:23" ht="14.25" customHeight="1" x14ac:dyDescent="0.55000000000000004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</row>
    <row r="889" spans="1:23" ht="14.25" customHeight="1" x14ac:dyDescent="0.55000000000000004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</row>
    <row r="890" spans="1:23" ht="14.25" customHeight="1" x14ac:dyDescent="0.55000000000000004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</row>
    <row r="891" spans="1:23" ht="14.25" customHeight="1" x14ac:dyDescent="0.55000000000000004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</row>
    <row r="892" spans="1:23" ht="14.25" customHeight="1" x14ac:dyDescent="0.55000000000000004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</row>
    <row r="893" spans="1:23" ht="14.25" customHeight="1" x14ac:dyDescent="0.55000000000000004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</row>
    <row r="894" spans="1:23" ht="14.25" customHeight="1" x14ac:dyDescent="0.5500000000000000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</row>
    <row r="895" spans="1:23" ht="14.25" customHeight="1" x14ac:dyDescent="0.55000000000000004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</row>
    <row r="896" spans="1:23" ht="14.25" customHeight="1" x14ac:dyDescent="0.55000000000000004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</row>
    <row r="897" spans="1:23" ht="14.25" customHeight="1" x14ac:dyDescent="0.55000000000000004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</row>
    <row r="898" spans="1:23" ht="14.25" customHeight="1" x14ac:dyDescent="0.55000000000000004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</row>
    <row r="899" spans="1:23" ht="14.25" customHeight="1" x14ac:dyDescent="0.55000000000000004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</row>
    <row r="900" spans="1:23" ht="14.25" customHeight="1" x14ac:dyDescent="0.55000000000000004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</row>
    <row r="901" spans="1:23" ht="14.25" customHeight="1" x14ac:dyDescent="0.55000000000000004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</row>
    <row r="902" spans="1:23" ht="14.25" customHeight="1" x14ac:dyDescent="0.55000000000000004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</row>
    <row r="903" spans="1:23" ht="14.25" customHeight="1" x14ac:dyDescent="0.55000000000000004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</row>
    <row r="904" spans="1:23" ht="14.25" customHeight="1" x14ac:dyDescent="0.550000000000000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</row>
    <row r="905" spans="1:23" ht="14.25" customHeight="1" x14ac:dyDescent="0.55000000000000004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</row>
    <row r="906" spans="1:23" ht="14.25" customHeight="1" x14ac:dyDescent="0.55000000000000004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</row>
    <row r="907" spans="1:23" ht="14.25" customHeight="1" x14ac:dyDescent="0.55000000000000004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</row>
    <row r="908" spans="1:23" ht="14.25" customHeight="1" x14ac:dyDescent="0.55000000000000004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</row>
    <row r="909" spans="1:23" ht="14.25" customHeight="1" x14ac:dyDescent="0.55000000000000004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</row>
    <row r="910" spans="1:23" ht="14.25" customHeight="1" x14ac:dyDescent="0.55000000000000004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</row>
    <row r="911" spans="1:23" ht="14.25" customHeight="1" x14ac:dyDescent="0.55000000000000004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</row>
    <row r="912" spans="1:23" ht="14.25" customHeight="1" x14ac:dyDescent="0.55000000000000004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</row>
    <row r="913" spans="1:23" ht="14.25" customHeight="1" x14ac:dyDescent="0.55000000000000004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</row>
    <row r="914" spans="1:23" ht="14.25" customHeight="1" x14ac:dyDescent="0.5500000000000000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</row>
    <row r="915" spans="1:23" ht="14.25" customHeight="1" x14ac:dyDescent="0.55000000000000004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</row>
    <row r="916" spans="1:23" ht="14.25" customHeight="1" x14ac:dyDescent="0.55000000000000004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</row>
    <row r="917" spans="1:23" ht="14.25" customHeight="1" x14ac:dyDescent="0.55000000000000004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</row>
    <row r="918" spans="1:23" ht="14.25" customHeight="1" x14ac:dyDescent="0.55000000000000004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</row>
    <row r="919" spans="1:23" ht="14.25" customHeight="1" x14ac:dyDescent="0.55000000000000004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</row>
    <row r="920" spans="1:23" ht="14.25" customHeight="1" x14ac:dyDescent="0.55000000000000004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</row>
    <row r="921" spans="1:23" ht="14.25" customHeight="1" x14ac:dyDescent="0.55000000000000004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</row>
    <row r="922" spans="1:23" ht="14.25" customHeight="1" x14ac:dyDescent="0.55000000000000004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</row>
    <row r="923" spans="1:23" ht="14.25" customHeight="1" x14ac:dyDescent="0.55000000000000004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</row>
    <row r="924" spans="1:23" ht="14.25" customHeight="1" x14ac:dyDescent="0.5500000000000000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</row>
    <row r="925" spans="1:23" ht="14.25" customHeight="1" x14ac:dyDescent="0.55000000000000004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</row>
    <row r="926" spans="1:23" ht="14.25" customHeight="1" x14ac:dyDescent="0.55000000000000004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</row>
    <row r="927" spans="1:23" ht="14.25" customHeight="1" x14ac:dyDescent="0.55000000000000004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</row>
    <row r="928" spans="1:23" ht="14.25" customHeight="1" x14ac:dyDescent="0.55000000000000004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</row>
    <row r="929" spans="1:23" ht="14.25" customHeight="1" x14ac:dyDescent="0.55000000000000004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</row>
    <row r="930" spans="1:23" ht="14.25" customHeight="1" x14ac:dyDescent="0.55000000000000004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</row>
    <row r="931" spans="1:23" ht="14.25" customHeight="1" x14ac:dyDescent="0.55000000000000004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</row>
    <row r="932" spans="1:23" ht="14.25" customHeight="1" x14ac:dyDescent="0.55000000000000004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</row>
    <row r="933" spans="1:23" ht="14.25" customHeight="1" x14ac:dyDescent="0.55000000000000004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</row>
    <row r="934" spans="1:23" ht="14.25" customHeight="1" x14ac:dyDescent="0.5500000000000000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</row>
    <row r="935" spans="1:23" ht="14.25" customHeight="1" x14ac:dyDescent="0.55000000000000004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</row>
    <row r="936" spans="1:23" ht="14.25" customHeight="1" x14ac:dyDescent="0.55000000000000004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</row>
    <row r="937" spans="1:23" ht="14.25" customHeight="1" x14ac:dyDescent="0.55000000000000004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</row>
    <row r="938" spans="1:23" ht="14.25" customHeight="1" x14ac:dyDescent="0.55000000000000004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</row>
    <row r="939" spans="1:23" ht="14.25" customHeight="1" x14ac:dyDescent="0.55000000000000004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</row>
    <row r="940" spans="1:23" ht="14.25" customHeight="1" x14ac:dyDescent="0.55000000000000004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</row>
    <row r="941" spans="1:23" ht="14.25" customHeight="1" x14ac:dyDescent="0.55000000000000004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</row>
    <row r="942" spans="1:23" ht="14.25" customHeight="1" x14ac:dyDescent="0.55000000000000004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</row>
    <row r="943" spans="1:23" ht="14.25" customHeight="1" x14ac:dyDescent="0.55000000000000004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</row>
    <row r="944" spans="1:23" ht="14.25" customHeight="1" x14ac:dyDescent="0.5500000000000000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</row>
    <row r="945" spans="1:23" ht="14.25" customHeight="1" x14ac:dyDescent="0.55000000000000004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</row>
    <row r="946" spans="1:23" ht="14.25" customHeight="1" x14ac:dyDescent="0.55000000000000004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</row>
    <row r="947" spans="1:23" ht="14.25" customHeight="1" x14ac:dyDescent="0.55000000000000004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</row>
    <row r="948" spans="1:23" ht="14.25" customHeight="1" x14ac:dyDescent="0.55000000000000004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</row>
    <row r="949" spans="1:23" ht="14.25" customHeight="1" x14ac:dyDescent="0.55000000000000004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</row>
    <row r="950" spans="1:23" ht="14.25" customHeight="1" x14ac:dyDescent="0.55000000000000004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</row>
    <row r="951" spans="1:23" ht="14.25" customHeight="1" x14ac:dyDescent="0.55000000000000004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</row>
    <row r="952" spans="1:23" ht="14.25" customHeight="1" x14ac:dyDescent="0.55000000000000004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</row>
    <row r="953" spans="1:23" ht="14.25" customHeight="1" x14ac:dyDescent="0.55000000000000004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</row>
    <row r="954" spans="1:23" ht="14.25" customHeight="1" x14ac:dyDescent="0.5500000000000000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</row>
    <row r="955" spans="1:23" ht="14.25" customHeight="1" x14ac:dyDescent="0.55000000000000004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</row>
    <row r="956" spans="1:23" ht="14.25" customHeight="1" x14ac:dyDescent="0.55000000000000004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</row>
    <row r="957" spans="1:23" ht="14.25" customHeight="1" x14ac:dyDescent="0.55000000000000004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</row>
    <row r="958" spans="1:23" ht="14.25" customHeight="1" x14ac:dyDescent="0.55000000000000004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</row>
    <row r="959" spans="1:23" ht="14.25" customHeight="1" x14ac:dyDescent="0.55000000000000004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</row>
    <row r="960" spans="1:23" ht="14.25" customHeight="1" x14ac:dyDescent="0.55000000000000004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</row>
    <row r="961" spans="1:23" ht="14.25" customHeight="1" x14ac:dyDescent="0.55000000000000004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</row>
    <row r="962" spans="1:23" ht="14.25" customHeight="1" x14ac:dyDescent="0.55000000000000004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</row>
    <row r="963" spans="1:23" ht="14.25" customHeight="1" x14ac:dyDescent="0.55000000000000004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</row>
    <row r="964" spans="1:23" ht="14.25" customHeight="1" x14ac:dyDescent="0.5500000000000000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</row>
    <row r="965" spans="1:23" ht="14.25" customHeight="1" x14ac:dyDescent="0.55000000000000004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</row>
    <row r="966" spans="1:23" ht="14.25" customHeight="1" x14ac:dyDescent="0.55000000000000004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</row>
    <row r="967" spans="1:23" ht="14.25" customHeight="1" x14ac:dyDescent="0.55000000000000004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</row>
    <row r="968" spans="1:23" ht="14.25" customHeight="1" x14ac:dyDescent="0.55000000000000004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</row>
    <row r="969" spans="1:23" ht="14.25" customHeight="1" x14ac:dyDescent="0.55000000000000004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</row>
    <row r="970" spans="1:23" ht="14.25" customHeight="1" x14ac:dyDescent="0.55000000000000004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</row>
    <row r="971" spans="1:23" ht="14.25" customHeight="1" x14ac:dyDescent="0.55000000000000004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</row>
    <row r="972" spans="1:23" ht="14.25" customHeight="1" x14ac:dyDescent="0.55000000000000004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</row>
    <row r="973" spans="1:23" ht="14.25" customHeight="1" x14ac:dyDescent="0.55000000000000004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</row>
    <row r="974" spans="1:23" ht="14.25" customHeight="1" x14ac:dyDescent="0.5500000000000000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</row>
    <row r="975" spans="1:23" ht="14.25" customHeight="1" x14ac:dyDescent="0.55000000000000004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</row>
    <row r="976" spans="1:23" ht="14.25" customHeight="1" x14ac:dyDescent="0.55000000000000004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</row>
    <row r="977" spans="1:23" ht="14.25" customHeight="1" x14ac:dyDescent="0.55000000000000004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</row>
    <row r="978" spans="1:23" ht="14.25" customHeight="1" x14ac:dyDescent="0.55000000000000004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</row>
    <row r="979" spans="1:23" ht="14.25" customHeight="1" x14ac:dyDescent="0.55000000000000004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</row>
    <row r="980" spans="1:23" ht="14.25" customHeight="1" x14ac:dyDescent="0.55000000000000004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</row>
    <row r="981" spans="1:23" ht="14.25" customHeight="1" x14ac:dyDescent="0.55000000000000004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</row>
    <row r="982" spans="1:23" ht="14.25" customHeight="1" x14ac:dyDescent="0.55000000000000004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</row>
    <row r="983" spans="1:23" ht="14.25" customHeight="1" x14ac:dyDescent="0.55000000000000004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</row>
    <row r="984" spans="1:23" ht="14.25" customHeight="1" x14ac:dyDescent="0.5500000000000000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</row>
    <row r="985" spans="1:23" ht="14.25" customHeight="1" x14ac:dyDescent="0.55000000000000004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</row>
    <row r="986" spans="1:23" ht="14.25" customHeight="1" x14ac:dyDescent="0.55000000000000004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</row>
    <row r="987" spans="1:23" ht="14.25" customHeight="1" x14ac:dyDescent="0.55000000000000004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</row>
    <row r="988" spans="1:23" ht="14.25" customHeight="1" x14ac:dyDescent="0.55000000000000004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</row>
    <row r="989" spans="1:23" ht="14.25" customHeight="1" x14ac:dyDescent="0.55000000000000004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</row>
    <row r="990" spans="1:23" ht="14.25" customHeight="1" x14ac:dyDescent="0.55000000000000004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</row>
    <row r="991" spans="1:23" ht="14.25" customHeight="1" x14ac:dyDescent="0.55000000000000004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</row>
    <row r="992" spans="1:23" ht="14.25" customHeight="1" x14ac:dyDescent="0.55000000000000004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</row>
    <row r="993" spans="1:23" ht="14.25" customHeight="1" x14ac:dyDescent="0.55000000000000004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</row>
    <row r="994" spans="1:23" ht="14.25" customHeight="1" x14ac:dyDescent="0.5500000000000000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</row>
    <row r="995" spans="1:23" ht="14.25" customHeight="1" x14ac:dyDescent="0.55000000000000004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</row>
    <row r="996" spans="1:23" ht="14.25" customHeight="1" x14ac:dyDescent="0.55000000000000004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</row>
    <row r="997" spans="1:23" ht="14.25" customHeight="1" x14ac:dyDescent="0.55000000000000004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</row>
    <row r="998" spans="1:23" ht="14.25" customHeight="1" x14ac:dyDescent="0.55000000000000004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</row>
    <row r="999" spans="1:23" ht="14.25" customHeight="1" x14ac:dyDescent="0.55000000000000004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</row>
    <row r="1000" spans="1:23" ht="14.25" customHeight="1" x14ac:dyDescent="0.55000000000000004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personalist!$A$2:$A$160</xm:f>
          </x14:formula1>
          <xm:sqref>D3:X3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topLeftCell="A23" workbookViewId="0">
      <selection activeCell="D2" sqref="D2"/>
    </sheetView>
  </sheetViews>
  <sheetFormatPr defaultColWidth="12.62890625" defaultRowHeight="15" customHeight="1" x14ac:dyDescent="0.55000000000000004"/>
  <cols>
    <col min="1" max="1" width="8.62890625" customWidth="1"/>
    <col min="2" max="3" width="8.89453125" customWidth="1"/>
    <col min="4" max="13" width="8.62890625" customWidth="1"/>
    <col min="14" max="14" width="9.62890625" customWidth="1"/>
    <col min="15" max="26" width="8.62890625" customWidth="1"/>
  </cols>
  <sheetData>
    <row r="1" spans="1:26" ht="14.25" customHeight="1" x14ac:dyDescent="0.55000000000000004">
      <c r="A1" s="1">
        <f>'weekly hours'!A1</f>
        <v>0</v>
      </c>
      <c r="D1" s="1" t="str">
        <f>'weekly hours'!D1</f>
        <v>Remote senior</v>
      </c>
      <c r="E1" s="1" t="str">
        <f>'weekly hours'!E1</f>
        <v>Remote senior</v>
      </c>
      <c r="F1" s="1" t="str">
        <f>'weekly hours'!F1</f>
        <v>Remote senior</v>
      </c>
      <c r="G1" s="1" t="str">
        <f>'weekly hours'!G1</f>
        <v>Remote senior</v>
      </c>
      <c r="H1" s="1" t="str">
        <f>'weekly hours'!H1</f>
        <v>Remote mid engineer</v>
      </c>
      <c r="I1" s="1" t="str">
        <f>'weekly hours'!I1</f>
        <v>Remote mid engineer</v>
      </c>
      <c r="J1" s="1" t="str">
        <f>'weekly hours'!J1</f>
        <v>Remote mid engineer</v>
      </c>
      <c r="K1" s="1" t="str">
        <f>'weekly hours'!K1</f>
        <v>Remote senior</v>
      </c>
      <c r="L1" s="1" t="str">
        <f>'weekly hours'!L1</f>
        <v>Manager/senior Engineer</v>
      </c>
      <c r="M1" s="1" t="str">
        <f>'weekly hours'!M1</f>
        <v>Manager/senior Engineer</v>
      </c>
      <c r="N1" s="1" t="str">
        <f>'weekly hours'!N1</f>
        <v>Engineer/supervisor</v>
      </c>
      <c r="O1" s="1" t="str">
        <f>'weekly hours'!O1</f>
        <v>Welder</v>
      </c>
      <c r="P1" s="1" t="str">
        <f>'weekly hours'!P1</f>
        <v>Engineer/supervisor</v>
      </c>
      <c r="Q1" s="1" t="str">
        <f>'weekly hours'!Q1</f>
        <v>Technician II</v>
      </c>
      <c r="R1" s="1" t="str">
        <f>'weekly hours'!R1</f>
        <v>Welder</v>
      </c>
      <c r="S1" s="1" t="str">
        <f>'weekly hours'!S1</f>
        <v>Engineer/supervisor</v>
      </c>
      <c r="T1" s="1" t="str">
        <f>'weekly hours'!T1</f>
        <v>Engineer/supervisor</v>
      </c>
      <c r="U1" s="1" t="str">
        <f>'weekly hours'!U1</f>
        <v>Welder</v>
      </c>
      <c r="V1" s="1" t="str">
        <f>'weekly hours'!V1</f>
        <v>Welder</v>
      </c>
      <c r="X1" s="2"/>
      <c r="Y1" s="2"/>
      <c r="Z1" s="2"/>
    </row>
    <row r="2" spans="1:26" ht="14.25" customHeight="1" x14ac:dyDescent="0.55000000000000004">
      <c r="A2" s="20" t="str">
        <f>'weekly hours'!A2</f>
        <v>Salary $/day</v>
      </c>
      <c r="B2" s="20"/>
      <c r="C2" s="20"/>
      <c r="D2" s="20">
        <f>'weekly hours'!D2</f>
        <v>671</v>
      </c>
      <c r="E2" s="20">
        <f>'weekly hours'!E2</f>
        <v>671</v>
      </c>
      <c r="F2" s="20">
        <f>'weekly hours'!F2</f>
        <v>671</v>
      </c>
      <c r="G2" s="20">
        <f>'weekly hours'!G2</f>
        <v>671</v>
      </c>
      <c r="H2" s="20">
        <f>'weekly hours'!H2</f>
        <v>536</v>
      </c>
      <c r="I2" s="20">
        <f>'weekly hours'!I2</f>
        <v>536</v>
      </c>
      <c r="J2" s="20">
        <f>'weekly hours'!J2</f>
        <v>536</v>
      </c>
      <c r="K2" s="20">
        <f>'weekly hours'!K2</f>
        <v>671</v>
      </c>
      <c r="L2" s="20">
        <f>'weekly hours'!L2</f>
        <v>671</v>
      </c>
      <c r="M2" s="20">
        <f>'weekly hours'!M2</f>
        <v>671</v>
      </c>
      <c r="N2" s="20">
        <f>'weekly hours'!N2</f>
        <v>536</v>
      </c>
      <c r="O2" s="20">
        <f>'weekly hours'!O2</f>
        <v>469</v>
      </c>
      <c r="P2" s="20">
        <f>'weekly hours'!P2</f>
        <v>536</v>
      </c>
      <c r="Q2" s="20">
        <f>'weekly hours'!Q2</f>
        <v>456</v>
      </c>
      <c r="R2" s="20">
        <f>'weekly hours'!R2</f>
        <v>469</v>
      </c>
      <c r="S2" s="20">
        <f>'weekly hours'!S2</f>
        <v>536</v>
      </c>
      <c r="T2" s="20">
        <f>'weekly hours'!T2</f>
        <v>536</v>
      </c>
      <c r="U2" s="20">
        <f>'weekly hours'!U2</f>
        <v>469</v>
      </c>
      <c r="V2" s="20">
        <f>'weekly hours'!V2</f>
        <v>469</v>
      </c>
      <c r="W2" s="20"/>
      <c r="X2" s="20"/>
      <c r="Y2" s="20"/>
      <c r="Z2" s="20"/>
    </row>
    <row r="3" spans="1:26" ht="14.25" customHeight="1" x14ac:dyDescent="0.55000000000000004">
      <c r="A3" s="1" t="str">
        <f>'weekly hours'!A3</f>
        <v>Week #</v>
      </c>
      <c r="B3" s="1" t="str">
        <f>'weekly hours'!B3</f>
        <v>Start Date</v>
      </c>
      <c r="C3" s="1" t="str">
        <f>'weekly hours'!C3</f>
        <v>End Date</v>
      </c>
      <c r="D3" s="1" t="str">
        <f>'weekly hours'!D3</f>
        <v>Carol W</v>
      </c>
      <c r="E3" s="1" t="str">
        <f>'weekly hours'!E3</f>
        <v>Iain C</v>
      </c>
      <c r="F3" s="1" t="str">
        <f>'weekly hours'!F3</f>
        <v>Gordon D</v>
      </c>
      <c r="G3" s="1" t="str">
        <f>'weekly hours'!G3</f>
        <v>Jason C</v>
      </c>
      <c r="H3" s="1" t="str">
        <f>'weekly hours'!H3</f>
        <v>Eric C</v>
      </c>
      <c r="I3" s="1" t="str">
        <f>'weekly hours'!I3</f>
        <v>Luis Z</v>
      </c>
      <c r="J3" s="1" t="str">
        <f>'weekly hours'!J3</f>
        <v>Alsa G</v>
      </c>
      <c r="K3" s="1" t="str">
        <f>'weekly hours'!K3</f>
        <v>Amanda S</v>
      </c>
      <c r="L3" s="1" t="str">
        <f>'weekly hours'!L3</f>
        <v>Brian K</v>
      </c>
      <c r="M3" s="1" t="str">
        <f>'weekly hours'!M3</f>
        <v>Jonathan R</v>
      </c>
      <c r="N3" s="1" t="str">
        <f>'weekly hours'!N3</f>
        <v>Brian M</v>
      </c>
      <c r="O3" s="1" t="str">
        <f>'weekly hours'!O3</f>
        <v>Levi W</v>
      </c>
      <c r="P3" s="1" t="str">
        <f>'weekly hours'!P3</f>
        <v>Andy R</v>
      </c>
      <c r="Q3" s="1" t="str">
        <f>'weekly hours'!Q3</f>
        <v>Mike C</v>
      </c>
      <c r="R3" s="1" t="str">
        <f>'weekly hours'!R3</f>
        <v>Luke G</v>
      </c>
      <c r="S3" s="1" t="str">
        <f>'weekly hours'!S3</f>
        <v>Vu T</v>
      </c>
      <c r="T3" s="1" t="str">
        <f>'weekly hours'!T3</f>
        <v xml:space="preserve">Tony M </v>
      </c>
      <c r="U3" s="1" t="str">
        <f>'weekly hours'!U3</f>
        <v>Wyatt S</v>
      </c>
      <c r="V3" s="1" t="str">
        <f>'weekly hours'!V3</f>
        <v>Ryan O</v>
      </c>
    </row>
    <row r="4" spans="1:26" ht="14.25" customHeight="1" x14ac:dyDescent="0.55000000000000004">
      <c r="A4" s="1">
        <f>'weekly hours'!A4</f>
        <v>1</v>
      </c>
      <c r="B4" s="21">
        <f>'weekly hours'!B4</f>
        <v>45754</v>
      </c>
      <c r="C4" s="21">
        <f>'weekly hours'!C4</f>
        <v>45760</v>
      </c>
      <c r="D4" s="2" t="str">
        <f>IF('weekly hours'!D4=0," ",'weekly hours'!D4/8*'weekly hours'!D$2)</f>
        <v xml:space="preserve"> </v>
      </c>
      <c r="E4" s="2" t="str">
        <f>IF('weekly hours'!E4=0," ",'weekly hours'!E4/8*'weekly hours'!E$2)</f>
        <v xml:space="preserve"> </v>
      </c>
      <c r="F4" s="2" t="str">
        <f>IF('weekly hours'!F4=0," ",'weekly hours'!F4/8*'weekly hours'!F$2)</f>
        <v xml:space="preserve"> </v>
      </c>
      <c r="G4" s="2">
        <f>IF('weekly hours'!G4=0," ",'weekly hours'!G4/8*'weekly hours'!G$2)</f>
        <v>5032.5</v>
      </c>
      <c r="H4" s="2">
        <f>IF('weekly hours'!H4=0," ",'weekly hours'!H4/8*'weekly hours'!H$2)</f>
        <v>5360</v>
      </c>
      <c r="I4" s="2" t="str">
        <f>IF('weekly hours'!I4=0," ",'weekly hours'!I4/8*'weekly hours'!I$2)</f>
        <v xml:space="preserve"> </v>
      </c>
      <c r="J4" s="2">
        <f>IF('weekly hours'!J4=0," ",'weekly hours'!J4/8*'weekly hours'!J$2)</f>
        <v>2680</v>
      </c>
      <c r="K4" s="2" t="str">
        <f>IF('weekly hours'!K4=0," ",'weekly hours'!K4/8*'weekly hours'!K$2)</f>
        <v xml:space="preserve"> </v>
      </c>
      <c r="L4" s="2" t="str">
        <f>IF('weekly hours'!L4=0," ",'weekly hours'!L4/8*'weekly hours'!L$2)</f>
        <v xml:space="preserve"> </v>
      </c>
      <c r="M4" s="2" t="str">
        <f>IF('weekly hours'!M4=0," ",'weekly hours'!M4/8*'weekly hours'!M$2)</f>
        <v xml:space="preserve"> </v>
      </c>
      <c r="N4" s="2" t="str">
        <f>IF('weekly hours'!N4=0," ",'weekly hours'!N4/8*'weekly hours'!N$2)</f>
        <v xml:space="preserve"> </v>
      </c>
      <c r="O4" s="2" t="str">
        <f>IF('weekly hours'!O4=0," ",'weekly hours'!O4/8*'weekly hours'!O$2)</f>
        <v xml:space="preserve"> </v>
      </c>
      <c r="P4" s="2" t="str">
        <f>IF('weekly hours'!P4=0," ",'weekly hours'!P4/8*'weekly hours'!P$2)</f>
        <v xml:space="preserve"> </v>
      </c>
      <c r="Q4" s="2" t="str">
        <f>IF('weekly hours'!Q4=0," ",'weekly hours'!Q4/8*'weekly hours'!Q$2)</f>
        <v xml:space="preserve"> </v>
      </c>
      <c r="R4" s="2" t="str">
        <f>IF('weekly hours'!R4=0," ",'weekly hours'!R4/8*'weekly hours'!R$2)</f>
        <v xml:space="preserve"> </v>
      </c>
      <c r="S4" s="2" t="str">
        <f>IF('weekly hours'!S4=0," ",'weekly hours'!S4/8*'weekly hours'!S$2)</f>
        <v xml:space="preserve"> </v>
      </c>
      <c r="T4" s="2" t="str">
        <f>IF('weekly hours'!T4=0," ",'weekly hours'!T4/8*'weekly hours'!T$2)</f>
        <v xml:space="preserve"> </v>
      </c>
      <c r="U4" s="2" t="str">
        <f>IF('weekly hours'!U4=0," ",'weekly hours'!U4/8*'weekly hours'!U$2)</f>
        <v xml:space="preserve"> </v>
      </c>
      <c r="V4" s="2" t="str">
        <f>IF('weekly hours'!V4=0," ",'weekly hours'!V4/8*'weekly hours'!V$2)</f>
        <v xml:space="preserve"> </v>
      </c>
      <c r="W4" s="2"/>
    </row>
    <row r="5" spans="1:26" ht="14.25" customHeight="1" x14ac:dyDescent="0.55000000000000004">
      <c r="A5" s="1">
        <f>'weekly hours'!A5</f>
        <v>2</v>
      </c>
      <c r="B5" s="21">
        <f>'weekly hours'!B5</f>
        <v>45761</v>
      </c>
      <c r="C5" s="21">
        <f>'weekly hours'!C5</f>
        <v>45767</v>
      </c>
      <c r="D5" s="2" t="str">
        <f>IF('weekly hours'!D5=0," ",'weekly hours'!D5/8*'weekly hours'!D$2)</f>
        <v xml:space="preserve"> </v>
      </c>
      <c r="E5" s="2" t="str">
        <f>IF('weekly hours'!E5=0," ",'weekly hours'!E5/8*'weekly hours'!E$2)</f>
        <v xml:space="preserve"> </v>
      </c>
      <c r="F5" s="2" t="str">
        <f>IF('weekly hours'!F5=0," ",'weekly hours'!F5/8*'weekly hours'!F$2)</f>
        <v xml:space="preserve"> </v>
      </c>
      <c r="G5" s="2" t="str">
        <f>IF('weekly hours'!G5=0," ",'weekly hours'!G5/8*'weekly hours'!G$2)</f>
        <v xml:space="preserve"> </v>
      </c>
      <c r="H5" s="2">
        <f>IF('weekly hours'!H5=0," ",'weekly hours'!H5/8*'weekly hours'!H$2)</f>
        <v>1340</v>
      </c>
      <c r="I5" s="2" t="str">
        <f>IF('weekly hours'!I5=0," ",'weekly hours'!I5/8*'weekly hours'!I$2)</f>
        <v xml:space="preserve"> </v>
      </c>
      <c r="J5" s="2" t="str">
        <f>IF('weekly hours'!J5=0," ",'weekly hours'!J5/8*'weekly hours'!J$2)</f>
        <v xml:space="preserve"> </v>
      </c>
      <c r="K5" s="2" t="str">
        <f>IF('weekly hours'!K5=0," ",'weekly hours'!K5/8*'weekly hours'!K$2)</f>
        <v xml:space="preserve"> </v>
      </c>
      <c r="L5" s="2" t="str">
        <f>IF('weekly hours'!L5=0," ",'weekly hours'!L5/8*'weekly hours'!L$2)</f>
        <v xml:space="preserve"> </v>
      </c>
      <c r="M5" s="2" t="str">
        <f>IF('weekly hours'!M5=0," ",'weekly hours'!M5/8*'weekly hours'!M$2)</f>
        <v xml:space="preserve"> </v>
      </c>
      <c r="N5" s="2" t="str">
        <f>IF('weekly hours'!N5=0," ",'weekly hours'!N5/8*'weekly hours'!N$2)</f>
        <v xml:space="preserve"> </v>
      </c>
      <c r="O5" s="2" t="str">
        <f>IF('weekly hours'!O5=0," ",'weekly hours'!O5/8*'weekly hours'!O$2)</f>
        <v xml:space="preserve"> </v>
      </c>
      <c r="P5" s="2" t="str">
        <f>IF('weekly hours'!P5=0," ",'weekly hours'!P5/8*'weekly hours'!P$2)</f>
        <v xml:space="preserve"> </v>
      </c>
      <c r="Q5" s="2" t="str">
        <f>IF('weekly hours'!Q5=0," ",'weekly hours'!Q5/8*'weekly hours'!Q$2)</f>
        <v xml:space="preserve"> </v>
      </c>
      <c r="R5" s="2" t="str">
        <f>IF('weekly hours'!R5=0," ",'weekly hours'!R5/8*'weekly hours'!R$2)</f>
        <v xml:space="preserve"> </v>
      </c>
      <c r="S5" s="2" t="str">
        <f>IF('weekly hours'!S5=0," ",'weekly hours'!S5/8*'weekly hours'!S$2)</f>
        <v xml:space="preserve"> </v>
      </c>
      <c r="T5" s="2" t="str">
        <f>IF('weekly hours'!T5=0," ",'weekly hours'!T5/8*'weekly hours'!T$2)</f>
        <v xml:space="preserve"> </v>
      </c>
      <c r="U5" s="2" t="str">
        <f>IF('weekly hours'!U5=0," ",'weekly hours'!U5/8*'weekly hours'!U$2)</f>
        <v xml:space="preserve"> </v>
      </c>
      <c r="V5" s="2" t="str">
        <f>IF('weekly hours'!V5=0," ",'weekly hours'!V5/8*'weekly hours'!V$2)</f>
        <v xml:space="preserve"> </v>
      </c>
      <c r="W5" s="2"/>
    </row>
    <row r="6" spans="1:26" ht="14.25" customHeight="1" x14ac:dyDescent="0.55000000000000004">
      <c r="A6" s="1">
        <f>'weekly hours'!A6</f>
        <v>3</v>
      </c>
      <c r="B6" s="21">
        <f>'weekly hours'!B6</f>
        <v>45768</v>
      </c>
      <c r="C6" s="21">
        <f>'weekly hours'!C6</f>
        <v>45774</v>
      </c>
      <c r="D6" s="2" t="str">
        <f>IF('weekly hours'!D6=0," ",'weekly hours'!D6/8*'weekly hours'!D$2)</f>
        <v xml:space="preserve"> </v>
      </c>
      <c r="E6" s="2" t="str">
        <f>IF('weekly hours'!E6=0," ",'weekly hours'!E6/8*'weekly hours'!E$2)</f>
        <v xml:space="preserve"> </v>
      </c>
      <c r="F6" s="2" t="str">
        <f>IF('weekly hours'!F6=0," ",'weekly hours'!F6/8*'weekly hours'!F$2)</f>
        <v xml:space="preserve"> </v>
      </c>
      <c r="G6" s="2" t="str">
        <f>IF('weekly hours'!G6=0," ",'weekly hours'!G6/8*'weekly hours'!G$2)</f>
        <v xml:space="preserve"> </v>
      </c>
      <c r="H6" s="2" t="str">
        <f>IF('weekly hours'!H6=0," ",'weekly hours'!H6/8*'weekly hours'!H$2)</f>
        <v xml:space="preserve"> </v>
      </c>
      <c r="I6" s="2" t="str">
        <f>IF('weekly hours'!I6=0," ",'weekly hours'!I6/8*'weekly hours'!I$2)</f>
        <v xml:space="preserve"> </v>
      </c>
      <c r="J6" s="2" t="str">
        <f>IF('weekly hours'!J6=0," ",'weekly hours'!J6/8*'weekly hours'!J$2)</f>
        <v xml:space="preserve"> </v>
      </c>
      <c r="K6" s="2" t="str">
        <f>IF('weekly hours'!K6=0," ",'weekly hours'!K6/8*'weekly hours'!K$2)</f>
        <v xml:space="preserve"> </v>
      </c>
      <c r="L6" s="2" t="str">
        <f>IF('weekly hours'!L6=0," ",'weekly hours'!L6/8*'weekly hours'!L$2)</f>
        <v xml:space="preserve"> </v>
      </c>
      <c r="M6" s="2" t="str">
        <f>IF('weekly hours'!M6=0," ",'weekly hours'!M6/8*'weekly hours'!M$2)</f>
        <v xml:space="preserve"> </v>
      </c>
      <c r="N6" s="2" t="str">
        <f>IF('weekly hours'!N6=0," ",'weekly hours'!N6/8*'weekly hours'!N$2)</f>
        <v xml:space="preserve"> </v>
      </c>
      <c r="O6" s="2" t="str">
        <f>IF('weekly hours'!O6=0," ",'weekly hours'!O6/8*'weekly hours'!O$2)</f>
        <v xml:space="preserve"> </v>
      </c>
      <c r="P6" s="2" t="str">
        <f>IF('weekly hours'!P6=0," ",'weekly hours'!P6/8*'weekly hours'!P$2)</f>
        <v xml:space="preserve"> </v>
      </c>
      <c r="Q6" s="2" t="str">
        <f>IF('weekly hours'!Q6=0," ",'weekly hours'!Q6/8*'weekly hours'!Q$2)</f>
        <v xml:space="preserve"> </v>
      </c>
      <c r="R6" s="2" t="str">
        <f>IF('weekly hours'!R6=0," ",'weekly hours'!R6/8*'weekly hours'!R$2)</f>
        <v xml:space="preserve"> </v>
      </c>
      <c r="S6" s="2" t="str">
        <f>IF('weekly hours'!S6=0," ",'weekly hours'!S6/8*'weekly hours'!S$2)</f>
        <v xml:space="preserve"> </v>
      </c>
      <c r="T6" s="2" t="str">
        <f>IF('weekly hours'!T6=0," ",'weekly hours'!T6/8*'weekly hours'!T$2)</f>
        <v xml:space="preserve"> </v>
      </c>
      <c r="U6" s="2" t="str">
        <f>IF('weekly hours'!U6=0," ",'weekly hours'!U6/8*'weekly hours'!U$2)</f>
        <v xml:space="preserve"> </v>
      </c>
      <c r="V6" s="2" t="str">
        <f>IF('weekly hours'!V6=0," ",'weekly hours'!V6/8*'weekly hours'!V$2)</f>
        <v xml:space="preserve"> </v>
      </c>
      <c r="W6" s="2"/>
    </row>
    <row r="7" spans="1:26" ht="14.25" customHeight="1" x14ac:dyDescent="0.55000000000000004">
      <c r="A7" s="1">
        <f>'weekly hours'!A7</f>
        <v>4</v>
      </c>
      <c r="B7" s="21">
        <f>'weekly hours'!B7</f>
        <v>45775</v>
      </c>
      <c r="C7" s="21">
        <f>'weekly hours'!C7</f>
        <v>45781</v>
      </c>
      <c r="D7" s="2" t="str">
        <f>IF('weekly hours'!D7=0," ",'weekly hours'!D7/8*'weekly hours'!D$2)</f>
        <v xml:space="preserve"> </v>
      </c>
      <c r="E7" s="2" t="str">
        <f>IF('weekly hours'!E7=0," ",'weekly hours'!E7/8*'weekly hours'!E$2)</f>
        <v xml:space="preserve"> </v>
      </c>
      <c r="F7" s="2" t="str">
        <f>IF('weekly hours'!F7=0," ",'weekly hours'!F7/8*'weekly hours'!F$2)</f>
        <v xml:space="preserve"> </v>
      </c>
      <c r="G7" s="2" t="str">
        <f>IF('weekly hours'!G7=0," ",'weekly hours'!G7/8*'weekly hours'!G$2)</f>
        <v xml:space="preserve"> </v>
      </c>
      <c r="H7" s="2" t="str">
        <f>IF('weekly hours'!H7=0," ",'weekly hours'!H7/8*'weekly hours'!H$2)</f>
        <v xml:space="preserve"> </v>
      </c>
      <c r="I7" s="2" t="str">
        <f>IF('weekly hours'!I7=0," ",'weekly hours'!I7/8*'weekly hours'!I$2)</f>
        <v xml:space="preserve"> </v>
      </c>
      <c r="J7" s="2" t="str">
        <f>IF('weekly hours'!J7=0," ",'weekly hours'!J7/8*'weekly hours'!J$2)</f>
        <v xml:space="preserve"> </v>
      </c>
      <c r="K7" s="2" t="str">
        <f>IF('weekly hours'!K7=0," ",'weekly hours'!K7/8*'weekly hours'!K$2)</f>
        <v xml:space="preserve"> </v>
      </c>
      <c r="L7" s="2" t="str">
        <f>IF('weekly hours'!L7=0," ",'weekly hours'!L7/8*'weekly hours'!L$2)</f>
        <v xml:space="preserve"> </v>
      </c>
      <c r="M7" s="2" t="str">
        <f>IF('weekly hours'!M7=0," ",'weekly hours'!M7/8*'weekly hours'!M$2)</f>
        <v xml:space="preserve"> </v>
      </c>
      <c r="N7" s="2" t="str">
        <f>IF('weekly hours'!N7=0," ",'weekly hours'!N7/8*'weekly hours'!N$2)</f>
        <v xml:space="preserve"> </v>
      </c>
      <c r="O7" s="2" t="str">
        <f>IF('weekly hours'!O7=0," ",'weekly hours'!O7/8*'weekly hours'!O$2)</f>
        <v xml:space="preserve"> </v>
      </c>
      <c r="P7" s="2" t="str">
        <f>IF('weekly hours'!P7=0," ",'weekly hours'!P7/8*'weekly hours'!P$2)</f>
        <v xml:space="preserve"> </v>
      </c>
      <c r="Q7" s="2" t="str">
        <f>IF('weekly hours'!Q7=0," ",'weekly hours'!Q7/8*'weekly hours'!Q$2)</f>
        <v xml:space="preserve"> </v>
      </c>
      <c r="R7" s="2" t="str">
        <f>IF('weekly hours'!R7=0," ",'weekly hours'!R7/8*'weekly hours'!R$2)</f>
        <v xml:space="preserve"> </v>
      </c>
      <c r="S7" s="2" t="str">
        <f>IF('weekly hours'!S7=0," ",'weekly hours'!S7/8*'weekly hours'!S$2)</f>
        <v xml:space="preserve"> </v>
      </c>
      <c r="T7" s="2" t="str">
        <f>IF('weekly hours'!T7=0," ",'weekly hours'!T7/8*'weekly hours'!T$2)</f>
        <v xml:space="preserve"> </v>
      </c>
      <c r="U7" s="2" t="str">
        <f>IF('weekly hours'!U7=0," ",'weekly hours'!U7/8*'weekly hours'!U$2)</f>
        <v xml:space="preserve"> </v>
      </c>
      <c r="V7" s="2" t="str">
        <f>IF('weekly hours'!V7=0," ",'weekly hours'!V7/8*'weekly hours'!V$2)</f>
        <v xml:space="preserve"> </v>
      </c>
      <c r="W7" s="2"/>
    </row>
    <row r="8" spans="1:26" ht="14.25" customHeight="1" x14ac:dyDescent="0.55000000000000004">
      <c r="A8" s="1">
        <f>'weekly hours'!A8</f>
        <v>5</v>
      </c>
      <c r="B8" s="21">
        <f>'weekly hours'!B8</f>
        <v>45782</v>
      </c>
      <c r="C8" s="21">
        <f>'weekly hours'!C8</f>
        <v>45788</v>
      </c>
      <c r="D8" s="2" t="str">
        <f>IF('weekly hours'!D8=0," ",'weekly hours'!D8/8*'weekly hours'!D$2)</f>
        <v xml:space="preserve"> </v>
      </c>
      <c r="E8" s="2" t="str">
        <f>IF('weekly hours'!E8=0," ",'weekly hours'!E8/8*'weekly hours'!E$2)</f>
        <v xml:space="preserve"> </v>
      </c>
      <c r="F8" s="2" t="str">
        <f>IF('weekly hours'!F8=0," ",'weekly hours'!F8/8*'weekly hours'!F$2)</f>
        <v xml:space="preserve"> </v>
      </c>
      <c r="G8" s="2" t="str">
        <f>IF('weekly hours'!G8=0," ",'weekly hours'!G8/8*'weekly hours'!G$2)</f>
        <v xml:space="preserve"> </v>
      </c>
      <c r="H8" s="2" t="str">
        <f>IF('weekly hours'!H8=0," ",'weekly hours'!H8/8*'weekly hours'!H$2)</f>
        <v xml:space="preserve"> </v>
      </c>
      <c r="I8" s="2" t="str">
        <f>IF('weekly hours'!I8=0," ",'weekly hours'!I8/8*'weekly hours'!I$2)</f>
        <v xml:space="preserve"> </v>
      </c>
      <c r="J8" s="2" t="str">
        <f>IF('weekly hours'!J8=0," ",'weekly hours'!J8/8*'weekly hours'!J$2)</f>
        <v xml:space="preserve"> </v>
      </c>
      <c r="K8" s="2" t="str">
        <f>IF('weekly hours'!K8=0," ",'weekly hours'!K8/8*'weekly hours'!K$2)</f>
        <v xml:space="preserve"> </v>
      </c>
      <c r="L8" s="2" t="str">
        <f>IF('weekly hours'!L8=0," ",'weekly hours'!L8/8*'weekly hours'!L$2)</f>
        <v xml:space="preserve"> </v>
      </c>
      <c r="M8" s="2" t="str">
        <f>IF('weekly hours'!M8=0," ",'weekly hours'!M8/8*'weekly hours'!M$2)</f>
        <v xml:space="preserve"> </v>
      </c>
      <c r="N8" s="2" t="str">
        <f>IF('weekly hours'!N8=0," ",'weekly hours'!N8/8*'weekly hours'!N$2)</f>
        <v xml:space="preserve"> </v>
      </c>
      <c r="O8" s="2" t="str">
        <f>IF('weekly hours'!O8=0," ",'weekly hours'!O8/8*'weekly hours'!O$2)</f>
        <v xml:space="preserve"> </v>
      </c>
      <c r="P8" s="2" t="str">
        <f>IF('weekly hours'!P8=0," ",'weekly hours'!P8/8*'weekly hours'!P$2)</f>
        <v xml:space="preserve"> </v>
      </c>
      <c r="Q8" s="2" t="str">
        <f>IF('weekly hours'!Q8=0," ",'weekly hours'!Q8/8*'weekly hours'!Q$2)</f>
        <v xml:space="preserve"> </v>
      </c>
      <c r="R8" s="2" t="str">
        <f>IF('weekly hours'!R8=0," ",'weekly hours'!R8/8*'weekly hours'!R$2)</f>
        <v xml:space="preserve"> </v>
      </c>
      <c r="S8" s="2" t="str">
        <f>IF('weekly hours'!S8=0," ",'weekly hours'!S8/8*'weekly hours'!S$2)</f>
        <v xml:space="preserve"> </v>
      </c>
      <c r="T8" s="2" t="str">
        <f>IF('weekly hours'!T8=0," ",'weekly hours'!T8/8*'weekly hours'!T$2)</f>
        <v xml:space="preserve"> </v>
      </c>
      <c r="U8" s="2" t="str">
        <f>IF('weekly hours'!U8=0," ",'weekly hours'!U8/8*'weekly hours'!U$2)</f>
        <v xml:space="preserve"> </v>
      </c>
      <c r="V8" s="2" t="str">
        <f>IF('weekly hours'!V8=0," ",'weekly hours'!V8/8*'weekly hours'!V$2)</f>
        <v xml:space="preserve"> </v>
      </c>
      <c r="W8" s="2"/>
    </row>
    <row r="9" spans="1:26" ht="14.25" customHeight="1" x14ac:dyDescent="0.55000000000000004">
      <c r="A9" s="1">
        <f>'weekly hours'!A9</f>
        <v>6</v>
      </c>
      <c r="B9" s="21">
        <f>'weekly hours'!B9</f>
        <v>45789</v>
      </c>
      <c r="C9" s="21">
        <f>'weekly hours'!C9</f>
        <v>45795</v>
      </c>
      <c r="D9" s="2" t="str">
        <f>IF('weekly hours'!D9=0," ",'weekly hours'!D9/8*'weekly hours'!D$2)</f>
        <v xml:space="preserve"> </v>
      </c>
      <c r="E9" s="2" t="str">
        <f>IF('weekly hours'!E9=0," ",'weekly hours'!E9/8*'weekly hours'!E$2)</f>
        <v xml:space="preserve"> </v>
      </c>
      <c r="F9" s="2" t="str">
        <f>IF('weekly hours'!F9=0," ",'weekly hours'!F9/8*'weekly hours'!F$2)</f>
        <v xml:space="preserve"> </v>
      </c>
      <c r="G9" s="2" t="str">
        <f>IF('weekly hours'!G9=0," ",'weekly hours'!G9/8*'weekly hours'!G$2)</f>
        <v xml:space="preserve"> </v>
      </c>
      <c r="H9" s="2" t="str">
        <f>IF('weekly hours'!H9=0," ",'weekly hours'!H9/8*'weekly hours'!H$2)</f>
        <v xml:space="preserve"> </v>
      </c>
      <c r="I9" s="2" t="str">
        <f>IF('weekly hours'!I9=0," ",'weekly hours'!I9/8*'weekly hours'!I$2)</f>
        <v xml:space="preserve"> </v>
      </c>
      <c r="J9" s="2" t="str">
        <f>IF('weekly hours'!J9=0," ",'weekly hours'!J9/8*'weekly hours'!J$2)</f>
        <v xml:space="preserve"> </v>
      </c>
      <c r="K9" s="2" t="str">
        <f>IF('weekly hours'!K9=0," ",'weekly hours'!K9/8*'weekly hours'!K$2)</f>
        <v xml:space="preserve"> </v>
      </c>
      <c r="L9" s="2" t="str">
        <f>IF('weekly hours'!L9=0," ",'weekly hours'!L9/8*'weekly hours'!L$2)</f>
        <v xml:space="preserve"> </v>
      </c>
      <c r="M9" s="2" t="str">
        <f>IF('weekly hours'!M9=0," ",'weekly hours'!M9/8*'weekly hours'!M$2)</f>
        <v xml:space="preserve"> </v>
      </c>
      <c r="N9" s="2" t="str">
        <f>IF('weekly hours'!N9=0," ",'weekly hours'!N9/8*'weekly hours'!N$2)</f>
        <v xml:space="preserve"> </v>
      </c>
      <c r="O9" s="2" t="str">
        <f>IF('weekly hours'!O9=0," ",'weekly hours'!O9/8*'weekly hours'!O$2)</f>
        <v xml:space="preserve"> </v>
      </c>
      <c r="P9" s="2" t="str">
        <f>IF('weekly hours'!P9=0," ",'weekly hours'!P9/8*'weekly hours'!P$2)</f>
        <v xml:space="preserve"> </v>
      </c>
      <c r="Q9" s="2" t="str">
        <f>IF('weekly hours'!Q9=0," ",'weekly hours'!Q9/8*'weekly hours'!Q$2)</f>
        <v xml:space="preserve"> </v>
      </c>
      <c r="R9" s="2" t="str">
        <f>IF('weekly hours'!R9=0," ",'weekly hours'!R9/8*'weekly hours'!R$2)</f>
        <v xml:space="preserve"> </v>
      </c>
      <c r="S9" s="2" t="str">
        <f>IF('weekly hours'!S9=0," ",'weekly hours'!S9/8*'weekly hours'!S$2)</f>
        <v xml:space="preserve"> </v>
      </c>
      <c r="T9" s="2" t="str">
        <f>IF('weekly hours'!T9=0," ",'weekly hours'!T9/8*'weekly hours'!T$2)</f>
        <v xml:space="preserve"> </v>
      </c>
      <c r="U9" s="2" t="str">
        <f>IF('weekly hours'!U9=0," ",'weekly hours'!U9/8*'weekly hours'!U$2)</f>
        <v xml:space="preserve"> </v>
      </c>
      <c r="V9" s="2" t="str">
        <f>IF('weekly hours'!V9=0," ",'weekly hours'!V9/8*'weekly hours'!V$2)</f>
        <v xml:space="preserve"> </v>
      </c>
      <c r="W9" s="2"/>
    </row>
    <row r="10" spans="1:26" ht="14.25" customHeight="1" x14ac:dyDescent="0.55000000000000004">
      <c r="A10" s="1">
        <f>'weekly hours'!A10</f>
        <v>7</v>
      </c>
      <c r="B10" s="21">
        <f>'weekly hours'!B10</f>
        <v>45796</v>
      </c>
      <c r="C10" s="21">
        <f>'weekly hours'!C10</f>
        <v>45802</v>
      </c>
      <c r="D10" s="2" t="str">
        <f>IF('weekly hours'!D10=0," ",'weekly hours'!D10/8*'weekly hours'!D$2)</f>
        <v xml:space="preserve"> </v>
      </c>
      <c r="E10" s="2" t="str">
        <f>IF('weekly hours'!E10=0," ",'weekly hours'!E10/8*'weekly hours'!E$2)</f>
        <v xml:space="preserve"> </v>
      </c>
      <c r="F10" s="2" t="str">
        <f>IF('weekly hours'!F10=0," ",'weekly hours'!F10/8*'weekly hours'!F$2)</f>
        <v xml:space="preserve"> </v>
      </c>
      <c r="G10" s="2">
        <f>IF('weekly hours'!G10=0," ",'weekly hours'!G10/8*'weekly hours'!G$2)</f>
        <v>838.75</v>
      </c>
      <c r="H10" s="2">
        <f>IF('weekly hours'!H10=0," ",'weekly hours'!H10/8*'weekly hours'!H$2)</f>
        <v>2010</v>
      </c>
      <c r="I10" s="2" t="str">
        <f>IF('weekly hours'!I10=0," ",'weekly hours'!I10/8*'weekly hours'!I$2)</f>
        <v xml:space="preserve"> </v>
      </c>
      <c r="J10" s="2">
        <f>IF('weekly hours'!J10=0," ",'weekly hours'!J10/8*'weekly hours'!J$2)</f>
        <v>536</v>
      </c>
      <c r="K10" s="2" t="str">
        <f>IF('weekly hours'!K10=0," ",'weekly hours'!K10/8*'weekly hours'!K$2)</f>
        <v xml:space="preserve"> </v>
      </c>
      <c r="L10" s="2" t="str">
        <f>IF('weekly hours'!L10=0," ",'weekly hours'!L10/8*'weekly hours'!L$2)</f>
        <v xml:space="preserve"> </v>
      </c>
      <c r="M10" s="2" t="str">
        <f>IF('weekly hours'!M10=0," ",'weekly hours'!M10/8*'weekly hours'!M$2)</f>
        <v xml:space="preserve"> </v>
      </c>
      <c r="N10" s="2" t="str">
        <f>IF('weekly hours'!N10=0," ",'weekly hours'!N10/8*'weekly hours'!N$2)</f>
        <v xml:space="preserve"> </v>
      </c>
      <c r="O10" s="2" t="str">
        <f>IF('weekly hours'!O10=0," ",'weekly hours'!O10/8*'weekly hours'!O$2)</f>
        <v xml:space="preserve"> </v>
      </c>
      <c r="P10" s="2" t="str">
        <f>IF('weekly hours'!P10=0," ",'weekly hours'!P10/8*'weekly hours'!P$2)</f>
        <v xml:space="preserve"> </v>
      </c>
      <c r="Q10" s="2" t="str">
        <f>IF('weekly hours'!Q10=0," ",'weekly hours'!Q10/8*'weekly hours'!Q$2)</f>
        <v xml:space="preserve"> </v>
      </c>
      <c r="R10" s="2" t="str">
        <f>IF('weekly hours'!R10=0," ",'weekly hours'!R10/8*'weekly hours'!R$2)</f>
        <v xml:space="preserve"> </v>
      </c>
      <c r="S10" s="2" t="str">
        <f>IF('weekly hours'!S10=0," ",'weekly hours'!S10/8*'weekly hours'!S$2)</f>
        <v xml:space="preserve"> </v>
      </c>
      <c r="T10" s="2" t="str">
        <f>IF('weekly hours'!T10=0," ",'weekly hours'!T10/8*'weekly hours'!T$2)</f>
        <v xml:space="preserve"> </v>
      </c>
      <c r="U10" s="2" t="str">
        <f>IF('weekly hours'!U10=0," ",'weekly hours'!U10/8*'weekly hours'!U$2)</f>
        <v xml:space="preserve"> </v>
      </c>
      <c r="V10" s="2" t="str">
        <f>IF('weekly hours'!V10=0," ",'weekly hours'!V10/8*'weekly hours'!V$2)</f>
        <v xml:space="preserve"> </v>
      </c>
      <c r="W10" s="2"/>
    </row>
    <row r="11" spans="1:26" ht="14.25" customHeight="1" x14ac:dyDescent="0.55000000000000004">
      <c r="A11" s="1">
        <f>'weekly hours'!A11</f>
        <v>8</v>
      </c>
      <c r="B11" s="21">
        <f>'weekly hours'!B11</f>
        <v>45803</v>
      </c>
      <c r="C11" s="21">
        <f>'weekly hours'!C11</f>
        <v>45809</v>
      </c>
      <c r="D11" s="2" t="str">
        <f>IF('weekly hours'!D11=0," ",'weekly hours'!D11/8*'weekly hours'!D$2)</f>
        <v xml:space="preserve"> </v>
      </c>
      <c r="E11" s="2" t="str">
        <f>IF('weekly hours'!E11=0," ",'weekly hours'!E11/8*'weekly hours'!E$2)</f>
        <v xml:space="preserve"> </v>
      </c>
      <c r="F11" s="2" t="str">
        <f>IF('weekly hours'!F11=0," ",'weekly hours'!F11/8*'weekly hours'!F$2)</f>
        <v xml:space="preserve"> </v>
      </c>
      <c r="G11" s="2" t="str">
        <f>IF('weekly hours'!G11=0," ",'weekly hours'!G11/8*'weekly hours'!G$2)</f>
        <v xml:space="preserve"> </v>
      </c>
      <c r="H11" s="2" t="str">
        <f>IF('weekly hours'!H11=0," ",'weekly hours'!H11/8*'weekly hours'!H$2)</f>
        <v xml:space="preserve"> </v>
      </c>
      <c r="I11" s="2" t="str">
        <f>IF('weekly hours'!I11=0," ",'weekly hours'!I11/8*'weekly hours'!I$2)</f>
        <v xml:space="preserve"> </v>
      </c>
      <c r="J11" s="2" t="str">
        <f>IF('weekly hours'!J11=0," ",'weekly hours'!J11/8*'weekly hours'!J$2)</f>
        <v xml:space="preserve"> </v>
      </c>
      <c r="K11" s="2" t="str">
        <f>IF('weekly hours'!K11=0," ",'weekly hours'!K11/8*'weekly hours'!K$2)</f>
        <v xml:space="preserve"> </v>
      </c>
      <c r="L11" s="2" t="str">
        <f>IF('weekly hours'!L11=0," ",'weekly hours'!L11/8*'weekly hours'!L$2)</f>
        <v xml:space="preserve"> </v>
      </c>
      <c r="M11" s="2" t="str">
        <f>IF('weekly hours'!M11=0," ",'weekly hours'!M11/8*'weekly hours'!M$2)</f>
        <v xml:space="preserve"> </v>
      </c>
      <c r="N11" s="2" t="str">
        <f>IF('weekly hours'!N11=0," ",'weekly hours'!N11/8*'weekly hours'!N$2)</f>
        <v xml:space="preserve"> </v>
      </c>
      <c r="O11" s="2" t="str">
        <f>IF('weekly hours'!O11=0," ",'weekly hours'!O11/8*'weekly hours'!O$2)</f>
        <v xml:space="preserve"> </v>
      </c>
      <c r="P11" s="2" t="str">
        <f>IF('weekly hours'!P11=0," ",'weekly hours'!P11/8*'weekly hours'!P$2)</f>
        <v xml:space="preserve"> </v>
      </c>
      <c r="Q11" s="2" t="str">
        <f>IF('weekly hours'!Q11=0," ",'weekly hours'!Q11/8*'weekly hours'!Q$2)</f>
        <v xml:space="preserve"> </v>
      </c>
      <c r="R11" s="2" t="str">
        <f>IF('weekly hours'!R11=0," ",'weekly hours'!R11/8*'weekly hours'!R$2)</f>
        <v xml:space="preserve"> </v>
      </c>
      <c r="S11" s="2" t="str">
        <f>IF('weekly hours'!S11=0," ",'weekly hours'!S11/8*'weekly hours'!S$2)</f>
        <v xml:space="preserve"> </v>
      </c>
      <c r="T11" s="2" t="str">
        <f>IF('weekly hours'!T11=0," ",'weekly hours'!T11/8*'weekly hours'!T$2)</f>
        <v xml:space="preserve"> </v>
      </c>
      <c r="U11" s="2" t="str">
        <f>IF('weekly hours'!U11=0," ",'weekly hours'!U11/8*'weekly hours'!U$2)</f>
        <v xml:space="preserve"> </v>
      </c>
      <c r="V11" s="2" t="str">
        <f>IF('weekly hours'!V11=0," ",'weekly hours'!V11/8*'weekly hours'!V$2)</f>
        <v xml:space="preserve"> </v>
      </c>
      <c r="W11" s="2"/>
    </row>
    <row r="12" spans="1:26" ht="14.25" customHeight="1" x14ac:dyDescent="0.55000000000000004">
      <c r="A12" s="1">
        <f>'weekly hours'!A12</f>
        <v>9</v>
      </c>
      <c r="B12" s="21">
        <f>'weekly hours'!B12</f>
        <v>45810</v>
      </c>
      <c r="C12" s="21">
        <f>'weekly hours'!C12</f>
        <v>45816</v>
      </c>
      <c r="D12" s="2" t="str">
        <f>IF('weekly hours'!D12=0," ",'weekly hours'!D12/8*'weekly hours'!D$2)</f>
        <v xml:space="preserve"> </v>
      </c>
      <c r="E12" s="2" t="str">
        <f>IF('weekly hours'!E12=0," ",'weekly hours'!E12/8*'weekly hours'!E$2)</f>
        <v xml:space="preserve"> </v>
      </c>
      <c r="F12" s="2" t="str">
        <f>IF('weekly hours'!F12=0," ",'weekly hours'!F12/8*'weekly hours'!F$2)</f>
        <v xml:space="preserve"> </v>
      </c>
      <c r="G12" s="2" t="str">
        <f>IF('weekly hours'!G12=0," ",'weekly hours'!G12/8*'weekly hours'!G$2)</f>
        <v xml:space="preserve"> </v>
      </c>
      <c r="H12" s="2" t="str">
        <f>IF('weekly hours'!H12=0," ",'weekly hours'!H12/8*'weekly hours'!H$2)</f>
        <v xml:space="preserve"> </v>
      </c>
      <c r="I12" s="2" t="str">
        <f>IF('weekly hours'!I12=0," ",'weekly hours'!I12/8*'weekly hours'!I$2)</f>
        <v xml:space="preserve"> </v>
      </c>
      <c r="J12" s="2" t="str">
        <f>IF('weekly hours'!J12=0," ",'weekly hours'!J12/8*'weekly hours'!J$2)</f>
        <v xml:space="preserve"> </v>
      </c>
      <c r="K12" s="2" t="str">
        <f>IF('weekly hours'!K12=0," ",'weekly hours'!K12/8*'weekly hours'!K$2)</f>
        <v xml:space="preserve"> </v>
      </c>
      <c r="L12" s="2" t="str">
        <f>IF('weekly hours'!L12=0," ",'weekly hours'!L12/8*'weekly hours'!L$2)</f>
        <v xml:space="preserve"> </v>
      </c>
      <c r="M12" s="2" t="str">
        <f>IF('weekly hours'!M12=0," ",'weekly hours'!M12/8*'weekly hours'!M$2)</f>
        <v xml:space="preserve"> </v>
      </c>
      <c r="N12" s="2" t="str">
        <f>IF('weekly hours'!N12=0," ",'weekly hours'!N12/8*'weekly hours'!N$2)</f>
        <v xml:space="preserve"> </v>
      </c>
      <c r="O12" s="2" t="str">
        <f>IF('weekly hours'!O12=0," ",'weekly hours'!O12/8*'weekly hours'!O$2)</f>
        <v xml:space="preserve"> </v>
      </c>
      <c r="P12" s="2" t="str">
        <f>IF('weekly hours'!P12=0," ",'weekly hours'!P12/8*'weekly hours'!P$2)</f>
        <v xml:space="preserve"> </v>
      </c>
      <c r="Q12" s="2" t="str">
        <f>IF('weekly hours'!Q12=0," ",'weekly hours'!Q12/8*'weekly hours'!Q$2)</f>
        <v xml:space="preserve"> </v>
      </c>
      <c r="R12" s="2" t="str">
        <f>IF('weekly hours'!R12=0," ",'weekly hours'!R12/8*'weekly hours'!R$2)</f>
        <v xml:space="preserve"> </v>
      </c>
      <c r="S12" s="2" t="str">
        <f>IF('weekly hours'!S12=0," ",'weekly hours'!S12/8*'weekly hours'!S$2)</f>
        <v xml:space="preserve"> </v>
      </c>
      <c r="T12" s="2" t="str">
        <f>IF('weekly hours'!T12=0," ",'weekly hours'!T12/8*'weekly hours'!T$2)</f>
        <v xml:space="preserve"> </v>
      </c>
      <c r="U12" s="2" t="str">
        <f>IF('weekly hours'!U12=0," ",'weekly hours'!U12/8*'weekly hours'!U$2)</f>
        <v xml:space="preserve"> </v>
      </c>
      <c r="V12" s="2" t="str">
        <f>IF('weekly hours'!V12=0," ",'weekly hours'!V12/8*'weekly hours'!V$2)</f>
        <v xml:space="preserve"> </v>
      </c>
      <c r="W12" s="2"/>
    </row>
    <row r="13" spans="1:26" ht="14.25" customHeight="1" x14ac:dyDescent="0.55000000000000004">
      <c r="A13" s="1">
        <f>'weekly hours'!A13</f>
        <v>10</v>
      </c>
      <c r="B13" s="21">
        <f>'weekly hours'!B13</f>
        <v>45817</v>
      </c>
      <c r="C13" s="21">
        <f>'weekly hours'!C13</f>
        <v>45823</v>
      </c>
      <c r="D13" s="2" t="str">
        <f>IF('weekly hours'!D13=0," ",'weekly hours'!D13/8*'weekly hours'!D$2)</f>
        <v xml:space="preserve"> </v>
      </c>
      <c r="E13" s="2" t="str">
        <f>IF('weekly hours'!E13=0," ",'weekly hours'!E13/8*'weekly hours'!E$2)</f>
        <v xml:space="preserve"> </v>
      </c>
      <c r="F13" s="2" t="str">
        <f>IF('weekly hours'!F13=0," ",'weekly hours'!F13/8*'weekly hours'!F$2)</f>
        <v xml:space="preserve"> </v>
      </c>
      <c r="G13" s="2">
        <f>IF('weekly hours'!G13=0," ",'weekly hours'!G13/8*'weekly hours'!G$2)</f>
        <v>838.75</v>
      </c>
      <c r="H13" s="2">
        <f>IF('weekly hours'!H13=0," ",'weekly hours'!H13/8*'weekly hours'!H$2)</f>
        <v>1340</v>
      </c>
      <c r="I13" s="2" t="str">
        <f>IF('weekly hours'!I13=0," ",'weekly hours'!I13/8*'weekly hours'!I$2)</f>
        <v xml:space="preserve"> </v>
      </c>
      <c r="J13" s="2" t="str">
        <f>IF('weekly hours'!J13=0," ",'weekly hours'!J13/8*'weekly hours'!J$2)</f>
        <v xml:space="preserve"> </v>
      </c>
      <c r="K13" s="2" t="str">
        <f>IF('weekly hours'!K13=0," ",'weekly hours'!K13/8*'weekly hours'!K$2)</f>
        <v xml:space="preserve"> </v>
      </c>
      <c r="L13" s="2" t="str">
        <f>IF('weekly hours'!L13=0," ",'weekly hours'!L13/8*'weekly hours'!L$2)</f>
        <v xml:space="preserve"> </v>
      </c>
      <c r="M13" s="2" t="str">
        <f>IF('weekly hours'!M13=0," ",'weekly hours'!M13/8*'weekly hours'!M$2)</f>
        <v xml:space="preserve"> </v>
      </c>
      <c r="N13" s="2" t="str">
        <f>IF('weekly hours'!N13=0," ",'weekly hours'!N13/8*'weekly hours'!N$2)</f>
        <v xml:space="preserve"> </v>
      </c>
      <c r="O13" s="2" t="str">
        <f>IF('weekly hours'!O13=0," ",'weekly hours'!O13/8*'weekly hours'!O$2)</f>
        <v xml:space="preserve"> </v>
      </c>
      <c r="P13" s="2" t="str">
        <f>IF('weekly hours'!P13=0," ",'weekly hours'!P13/8*'weekly hours'!P$2)</f>
        <v xml:space="preserve"> </v>
      </c>
      <c r="Q13" s="2" t="str">
        <f>IF('weekly hours'!Q13=0," ",'weekly hours'!Q13/8*'weekly hours'!Q$2)</f>
        <v xml:space="preserve"> </v>
      </c>
      <c r="R13" s="2" t="str">
        <f>IF('weekly hours'!R13=0," ",'weekly hours'!R13/8*'weekly hours'!R$2)</f>
        <v xml:space="preserve"> </v>
      </c>
      <c r="S13" s="2" t="str">
        <f>IF('weekly hours'!S13=0," ",'weekly hours'!S13/8*'weekly hours'!S$2)</f>
        <v xml:space="preserve"> </v>
      </c>
      <c r="T13" s="2" t="str">
        <f>IF('weekly hours'!T13=0," ",'weekly hours'!T13/8*'weekly hours'!T$2)</f>
        <v xml:space="preserve"> </v>
      </c>
      <c r="U13" s="2" t="str">
        <f>IF('weekly hours'!U13=0," ",'weekly hours'!U13/8*'weekly hours'!U$2)</f>
        <v xml:space="preserve"> </v>
      </c>
      <c r="V13" s="2" t="str">
        <f>IF('weekly hours'!V13=0," ",'weekly hours'!V13/8*'weekly hours'!V$2)</f>
        <v xml:space="preserve"> </v>
      </c>
      <c r="W13" s="2"/>
    </row>
    <row r="14" spans="1:26" ht="14.25" customHeight="1" x14ac:dyDescent="0.55000000000000004">
      <c r="A14" s="1">
        <f>'weekly hours'!A14</f>
        <v>11</v>
      </c>
      <c r="B14" s="21">
        <f>'weekly hours'!B14</f>
        <v>45824</v>
      </c>
      <c r="C14" s="21">
        <f>'weekly hours'!C14</f>
        <v>45830</v>
      </c>
      <c r="D14" s="2" t="str">
        <f>IF('weekly hours'!D14=0," ",'weekly hours'!D14/8*'weekly hours'!D$2)</f>
        <v xml:space="preserve"> </v>
      </c>
      <c r="E14" s="2" t="str">
        <f>IF('weekly hours'!E14=0," ",'weekly hours'!E14/8*'weekly hours'!E$2)</f>
        <v xml:space="preserve"> </v>
      </c>
      <c r="F14" s="2" t="str">
        <f>IF('weekly hours'!F14=0," ",'weekly hours'!F14/8*'weekly hours'!F$2)</f>
        <v xml:space="preserve"> </v>
      </c>
      <c r="G14" s="2" t="str">
        <f>IF('weekly hours'!G14=0," ",'weekly hours'!G14/8*'weekly hours'!G$2)</f>
        <v xml:space="preserve"> </v>
      </c>
      <c r="H14" s="2">
        <f>IF('weekly hours'!H14=0," ",'weekly hours'!H14/8*'weekly hours'!H$2)</f>
        <v>1340</v>
      </c>
      <c r="I14" s="2" t="str">
        <f>IF('weekly hours'!I14=0," ",'weekly hours'!I14/8*'weekly hours'!I$2)</f>
        <v xml:space="preserve"> </v>
      </c>
      <c r="J14" s="2" t="str">
        <f>IF('weekly hours'!J14=0," ",'weekly hours'!J14/8*'weekly hours'!J$2)</f>
        <v xml:space="preserve"> </v>
      </c>
      <c r="K14" s="2" t="str">
        <f>IF('weekly hours'!K14=0," ",'weekly hours'!K14/8*'weekly hours'!K$2)</f>
        <v xml:space="preserve"> </v>
      </c>
      <c r="L14" s="2" t="str">
        <f>IF('weekly hours'!L14=0," ",'weekly hours'!L14/8*'weekly hours'!L$2)</f>
        <v xml:space="preserve"> </v>
      </c>
      <c r="M14" s="2" t="str">
        <f>IF('weekly hours'!M14=0," ",'weekly hours'!M14/8*'weekly hours'!M$2)</f>
        <v xml:space="preserve"> </v>
      </c>
      <c r="N14" s="2" t="str">
        <f>IF('weekly hours'!N14=0," ",'weekly hours'!N14/8*'weekly hours'!N$2)</f>
        <v xml:space="preserve"> </v>
      </c>
      <c r="O14" s="2" t="str">
        <f>IF('weekly hours'!O14=0," ",'weekly hours'!O14/8*'weekly hours'!O$2)</f>
        <v xml:space="preserve"> </v>
      </c>
      <c r="P14" s="2" t="str">
        <f>IF('weekly hours'!P14=0," ",'weekly hours'!P14/8*'weekly hours'!P$2)</f>
        <v xml:space="preserve"> </v>
      </c>
      <c r="Q14" s="2" t="str">
        <f>IF('weekly hours'!Q14=0," ",'weekly hours'!Q14/8*'weekly hours'!Q$2)</f>
        <v xml:space="preserve"> </v>
      </c>
      <c r="R14" s="2" t="str">
        <f>IF('weekly hours'!R14=0," ",'weekly hours'!R14/8*'weekly hours'!R$2)</f>
        <v xml:space="preserve"> </v>
      </c>
      <c r="S14" s="2" t="str">
        <f>IF('weekly hours'!S14=0," ",'weekly hours'!S14/8*'weekly hours'!S$2)</f>
        <v xml:space="preserve"> </v>
      </c>
      <c r="T14" s="2" t="str">
        <f>IF('weekly hours'!T14=0," ",'weekly hours'!T14/8*'weekly hours'!T$2)</f>
        <v xml:space="preserve"> </v>
      </c>
      <c r="U14" s="2" t="str">
        <f>IF('weekly hours'!U14=0," ",'weekly hours'!U14/8*'weekly hours'!U$2)</f>
        <v xml:space="preserve"> </v>
      </c>
      <c r="V14" s="2" t="str">
        <f>IF('weekly hours'!V14=0," ",'weekly hours'!V14/8*'weekly hours'!V$2)</f>
        <v xml:space="preserve"> </v>
      </c>
      <c r="W14" s="2"/>
    </row>
    <row r="15" spans="1:26" ht="14.25" customHeight="1" x14ac:dyDescent="0.55000000000000004">
      <c r="A15" s="1">
        <f>'weekly hours'!A15</f>
        <v>12</v>
      </c>
      <c r="B15" s="21">
        <f>'weekly hours'!B15</f>
        <v>45831</v>
      </c>
      <c r="C15" s="21">
        <f>'weekly hours'!C15</f>
        <v>45837</v>
      </c>
      <c r="D15" s="2" t="str">
        <f>IF('weekly hours'!D15=0," ",'weekly hours'!D15/8*'weekly hours'!D$2)</f>
        <v xml:space="preserve"> </v>
      </c>
      <c r="E15" s="2" t="str">
        <f>IF('weekly hours'!E15=0," ",'weekly hours'!E15/8*'weekly hours'!E$2)</f>
        <v xml:space="preserve"> </v>
      </c>
      <c r="F15" s="2" t="str">
        <f>IF('weekly hours'!F15=0," ",'weekly hours'!F15/8*'weekly hours'!F$2)</f>
        <v xml:space="preserve"> </v>
      </c>
      <c r="G15" s="2" t="str">
        <f>IF('weekly hours'!G15=0," ",'weekly hours'!G15/8*'weekly hours'!G$2)</f>
        <v xml:space="preserve"> </v>
      </c>
      <c r="H15" s="2" t="str">
        <f>IF('weekly hours'!H15=0," ",'weekly hours'!H15/8*'weekly hours'!H$2)</f>
        <v xml:space="preserve"> </v>
      </c>
      <c r="I15" s="2" t="str">
        <f>IF('weekly hours'!I15=0," ",'weekly hours'!I15/8*'weekly hours'!I$2)</f>
        <v xml:space="preserve"> </v>
      </c>
      <c r="J15" s="2" t="str">
        <f>IF('weekly hours'!J15=0," ",'weekly hours'!J15/8*'weekly hours'!J$2)</f>
        <v xml:space="preserve"> </v>
      </c>
      <c r="K15" s="2" t="str">
        <f>IF('weekly hours'!K15=0," ",'weekly hours'!K15/8*'weekly hours'!K$2)</f>
        <v xml:space="preserve"> </v>
      </c>
      <c r="L15" s="2" t="str">
        <f>IF('weekly hours'!L15=0," ",'weekly hours'!L15/8*'weekly hours'!L$2)</f>
        <v xml:space="preserve"> </v>
      </c>
      <c r="M15" s="2" t="str">
        <f>IF('weekly hours'!M15=0," ",'weekly hours'!M15/8*'weekly hours'!M$2)</f>
        <v xml:space="preserve"> </v>
      </c>
      <c r="N15" s="2" t="str">
        <f>IF('weekly hours'!N15=0," ",'weekly hours'!N15/8*'weekly hours'!N$2)</f>
        <v xml:space="preserve"> </v>
      </c>
      <c r="O15" s="2" t="str">
        <f>IF('weekly hours'!O15=0," ",'weekly hours'!O15/8*'weekly hours'!O$2)</f>
        <v xml:space="preserve"> </v>
      </c>
      <c r="P15" s="2" t="str">
        <f>IF('weekly hours'!P15=0," ",'weekly hours'!P15/8*'weekly hours'!P$2)</f>
        <v xml:space="preserve"> </v>
      </c>
      <c r="Q15" s="2" t="str">
        <f>IF('weekly hours'!Q15=0," ",'weekly hours'!Q15/8*'weekly hours'!Q$2)</f>
        <v xml:space="preserve"> </v>
      </c>
      <c r="R15" s="2" t="str">
        <f>IF('weekly hours'!R15=0," ",'weekly hours'!R15/8*'weekly hours'!R$2)</f>
        <v xml:space="preserve"> </v>
      </c>
      <c r="S15" s="2" t="str">
        <f>IF('weekly hours'!S15=0," ",'weekly hours'!S15/8*'weekly hours'!S$2)</f>
        <v xml:space="preserve"> </v>
      </c>
      <c r="T15" s="2" t="str">
        <f>IF('weekly hours'!T15=0," ",'weekly hours'!T15/8*'weekly hours'!T$2)</f>
        <v xml:space="preserve"> </v>
      </c>
      <c r="U15" s="2" t="str">
        <f>IF('weekly hours'!U15=0," ",'weekly hours'!U15/8*'weekly hours'!U$2)</f>
        <v xml:space="preserve"> </v>
      </c>
      <c r="V15" s="2" t="str">
        <f>IF('weekly hours'!V15=0," ",'weekly hours'!V15/8*'weekly hours'!V$2)</f>
        <v xml:space="preserve"> </v>
      </c>
      <c r="W15" s="2"/>
    </row>
    <row r="16" spans="1:26" ht="14.25" customHeight="1" x14ac:dyDescent="0.55000000000000004">
      <c r="A16" s="1">
        <f>'weekly hours'!A16</f>
        <v>13</v>
      </c>
      <c r="B16" s="21">
        <f>'weekly hours'!B16</f>
        <v>45838</v>
      </c>
      <c r="C16" s="21">
        <f>'weekly hours'!C16</f>
        <v>45844</v>
      </c>
      <c r="D16" s="2" t="str">
        <f>IF('weekly hours'!D16=0," ",'weekly hours'!D16/8*'weekly hours'!D$2)</f>
        <v xml:space="preserve"> </v>
      </c>
      <c r="E16" s="2" t="str">
        <f>IF('weekly hours'!E16=0," ",'weekly hours'!E16/8*'weekly hours'!E$2)</f>
        <v xml:space="preserve"> </v>
      </c>
      <c r="F16" s="2" t="str">
        <f>IF('weekly hours'!F16=0," ",'weekly hours'!F16/8*'weekly hours'!F$2)</f>
        <v xml:space="preserve"> </v>
      </c>
      <c r="G16" s="2">
        <f>IF('weekly hours'!G16=0," ",'weekly hours'!G16/8*'weekly hours'!G$2)</f>
        <v>838.75</v>
      </c>
      <c r="H16" s="2">
        <f>IF('weekly hours'!H16=0," ",'weekly hours'!H16/8*'weekly hours'!H$2)</f>
        <v>1340</v>
      </c>
      <c r="I16" s="2" t="str">
        <f>IF('weekly hours'!I16=0," ",'weekly hours'!I16/8*'weekly hours'!I$2)</f>
        <v xml:space="preserve"> </v>
      </c>
      <c r="J16" s="2" t="str">
        <f>IF('weekly hours'!J16=0," ",'weekly hours'!J16/8*'weekly hours'!J$2)</f>
        <v xml:space="preserve"> </v>
      </c>
      <c r="K16" s="2" t="str">
        <f>IF('weekly hours'!K16=0," ",'weekly hours'!K16/8*'weekly hours'!K$2)</f>
        <v xml:space="preserve"> </v>
      </c>
      <c r="L16" s="2" t="str">
        <f>IF('weekly hours'!L16=0," ",'weekly hours'!L16/8*'weekly hours'!L$2)</f>
        <v xml:space="preserve"> </v>
      </c>
      <c r="M16" s="2" t="str">
        <f>IF('weekly hours'!M16=0," ",'weekly hours'!M16/8*'weekly hours'!M$2)</f>
        <v xml:space="preserve"> </v>
      </c>
      <c r="N16" s="2" t="str">
        <f>IF('weekly hours'!N16=0," ",'weekly hours'!N16/8*'weekly hours'!N$2)</f>
        <v xml:space="preserve"> </v>
      </c>
      <c r="O16" s="2" t="str">
        <f>IF('weekly hours'!O16=0," ",'weekly hours'!O16/8*'weekly hours'!O$2)</f>
        <v xml:space="preserve"> </v>
      </c>
      <c r="P16" s="2">
        <f>IF('weekly hours'!P16=0," ",'weekly hours'!P16/8*'weekly hours'!P$2)</f>
        <v>2144</v>
      </c>
      <c r="Q16" s="2" t="str">
        <f>IF('weekly hours'!Q16=0," ",'weekly hours'!Q16/8*'weekly hours'!Q$2)</f>
        <v xml:space="preserve"> </v>
      </c>
      <c r="R16" s="2" t="str">
        <f>IF('weekly hours'!R16=0," ",'weekly hours'!R16/8*'weekly hours'!R$2)</f>
        <v xml:space="preserve"> </v>
      </c>
      <c r="S16" s="2" t="str">
        <f>IF('weekly hours'!S16=0," ",'weekly hours'!S16/8*'weekly hours'!S$2)</f>
        <v xml:space="preserve"> </v>
      </c>
      <c r="T16" s="2" t="str">
        <f>IF('weekly hours'!T16=0," ",'weekly hours'!T16/8*'weekly hours'!T$2)</f>
        <v xml:space="preserve"> </v>
      </c>
      <c r="U16" s="2" t="str">
        <f>IF('weekly hours'!U16=0," ",'weekly hours'!U16/8*'weekly hours'!U$2)</f>
        <v xml:space="preserve"> </v>
      </c>
      <c r="V16" s="2" t="str">
        <f>IF('weekly hours'!V16=0," ",'weekly hours'!V16/8*'weekly hours'!V$2)</f>
        <v xml:space="preserve"> </v>
      </c>
      <c r="W16" s="2"/>
    </row>
    <row r="17" spans="1:23" ht="14.25" customHeight="1" x14ac:dyDescent="0.55000000000000004">
      <c r="A17" s="1">
        <f>'weekly hours'!A17</f>
        <v>14</v>
      </c>
      <c r="B17" s="21">
        <f>'weekly hours'!B17</f>
        <v>45845</v>
      </c>
      <c r="C17" s="21">
        <f>'weekly hours'!C17</f>
        <v>45851</v>
      </c>
      <c r="D17" s="2" t="str">
        <f>IF('weekly hours'!D17=0," ",'weekly hours'!D17/8*'weekly hours'!D$2)</f>
        <v xml:space="preserve"> </v>
      </c>
      <c r="E17" s="2" t="str">
        <f>IF('weekly hours'!E17=0," ",'weekly hours'!E17/8*'weekly hours'!E$2)</f>
        <v xml:space="preserve"> </v>
      </c>
      <c r="F17" s="2" t="str">
        <f>IF('weekly hours'!F17=0," ",'weekly hours'!F17/8*'weekly hours'!F$2)</f>
        <v xml:space="preserve"> </v>
      </c>
      <c r="G17" s="2" t="str">
        <f>IF('weekly hours'!G17=0," ",'weekly hours'!G17/8*'weekly hours'!G$2)</f>
        <v xml:space="preserve"> </v>
      </c>
      <c r="H17" s="2" t="str">
        <f>IF('weekly hours'!H17=0," ",'weekly hours'!H17/8*'weekly hours'!H$2)</f>
        <v xml:space="preserve"> </v>
      </c>
      <c r="I17" s="2" t="str">
        <f>IF('weekly hours'!I17=0," ",'weekly hours'!I17/8*'weekly hours'!I$2)</f>
        <v xml:space="preserve"> </v>
      </c>
      <c r="J17" s="2" t="str">
        <f>IF('weekly hours'!J17=0," ",'weekly hours'!J17/8*'weekly hours'!J$2)</f>
        <v xml:space="preserve"> </v>
      </c>
      <c r="K17" s="2" t="str">
        <f>IF('weekly hours'!K17=0," ",'weekly hours'!K17/8*'weekly hours'!K$2)</f>
        <v xml:space="preserve"> </v>
      </c>
      <c r="L17" s="2" t="str">
        <f>IF('weekly hours'!L17=0," ",'weekly hours'!L17/8*'weekly hours'!L$2)</f>
        <v xml:space="preserve"> </v>
      </c>
      <c r="M17" s="2" t="str">
        <f>IF('weekly hours'!M17=0," ",'weekly hours'!M17/8*'weekly hours'!M$2)</f>
        <v xml:space="preserve"> </v>
      </c>
      <c r="N17" s="2" t="str">
        <f>IF('weekly hours'!N17=0," ",'weekly hours'!N17/8*'weekly hours'!N$2)</f>
        <v xml:space="preserve"> </v>
      </c>
      <c r="O17" s="2" t="str">
        <f>IF('weekly hours'!O17=0," ",'weekly hours'!O17/8*'weekly hours'!O$2)</f>
        <v xml:space="preserve"> </v>
      </c>
      <c r="P17" s="2">
        <f>IF('weekly hours'!P17=0," ",'weekly hours'!P17/8*'weekly hours'!P$2)</f>
        <v>2680</v>
      </c>
      <c r="Q17" s="2">
        <f>IF('weekly hours'!Q17=0," ",'weekly hours'!Q17/8*'weekly hours'!Q$2)</f>
        <v>456</v>
      </c>
      <c r="R17" s="2">
        <f>IF('weekly hours'!R17=0," ",'weekly hours'!R17/8*'weekly hours'!R$2)</f>
        <v>469</v>
      </c>
      <c r="S17" s="2" t="str">
        <f>IF('weekly hours'!S17=0," ",'weekly hours'!S17/8*'weekly hours'!S$2)</f>
        <v xml:space="preserve"> </v>
      </c>
      <c r="T17" s="2" t="str">
        <f>IF('weekly hours'!T17=0," ",'weekly hours'!T17/8*'weekly hours'!T$2)</f>
        <v xml:space="preserve"> </v>
      </c>
      <c r="U17" s="2" t="str">
        <f>IF('weekly hours'!U17=0," ",'weekly hours'!U17/8*'weekly hours'!U$2)</f>
        <v xml:space="preserve"> </v>
      </c>
      <c r="V17" s="2" t="str">
        <f>IF('weekly hours'!V17=0," ",'weekly hours'!V17/8*'weekly hours'!V$2)</f>
        <v xml:space="preserve"> </v>
      </c>
      <c r="W17" s="2"/>
    </row>
    <row r="18" spans="1:23" ht="14.25" customHeight="1" x14ac:dyDescent="0.55000000000000004">
      <c r="A18" s="1">
        <f>'weekly hours'!A18</f>
        <v>15</v>
      </c>
      <c r="B18" s="21">
        <f>'weekly hours'!B18</f>
        <v>45852</v>
      </c>
      <c r="C18" s="21">
        <f>'weekly hours'!C18</f>
        <v>45858</v>
      </c>
      <c r="D18" s="2" t="str">
        <f>IF('weekly hours'!D18=0," ",'weekly hours'!D18/8*'weekly hours'!D$2)</f>
        <v xml:space="preserve"> </v>
      </c>
      <c r="E18" s="2" t="str">
        <f>IF('weekly hours'!E18=0," ",'weekly hours'!E18/8*'weekly hours'!E$2)</f>
        <v xml:space="preserve"> </v>
      </c>
      <c r="F18" s="2" t="str">
        <f>IF('weekly hours'!F18=0," ",'weekly hours'!F18/8*'weekly hours'!F$2)</f>
        <v xml:space="preserve"> </v>
      </c>
      <c r="G18" s="2" t="str">
        <f>IF('weekly hours'!G18=0," ",'weekly hours'!G18/8*'weekly hours'!G$2)</f>
        <v xml:space="preserve"> </v>
      </c>
      <c r="H18" s="2">
        <f>IF('weekly hours'!H18=0," ",'weekly hours'!H18/8*'weekly hours'!H$2)</f>
        <v>1072</v>
      </c>
      <c r="I18" s="2" t="str">
        <f>IF('weekly hours'!I18=0," ",'weekly hours'!I18/8*'weekly hours'!I$2)</f>
        <v xml:space="preserve"> </v>
      </c>
      <c r="J18" s="2" t="str">
        <f>IF('weekly hours'!J18=0," ",'weekly hours'!J18/8*'weekly hours'!J$2)</f>
        <v xml:space="preserve"> </v>
      </c>
      <c r="K18" s="2" t="str">
        <f>IF('weekly hours'!K18=0," ",'weekly hours'!K18/8*'weekly hours'!K$2)</f>
        <v xml:space="preserve"> </v>
      </c>
      <c r="L18" s="2" t="str">
        <f>IF('weekly hours'!L18=0," ",'weekly hours'!L18/8*'weekly hours'!L$2)</f>
        <v xml:space="preserve"> </v>
      </c>
      <c r="M18" s="2" t="str">
        <f>IF('weekly hours'!M18=0," ",'weekly hours'!M18/8*'weekly hours'!M$2)</f>
        <v xml:space="preserve"> </v>
      </c>
      <c r="N18" s="2" t="str">
        <f>IF('weekly hours'!N18=0," ",'weekly hours'!N18/8*'weekly hours'!N$2)</f>
        <v xml:space="preserve"> </v>
      </c>
      <c r="O18" s="2" t="str">
        <f>IF('weekly hours'!O18=0," ",'weekly hours'!O18/8*'weekly hours'!O$2)</f>
        <v xml:space="preserve"> </v>
      </c>
      <c r="P18" s="2">
        <f>IF('weekly hours'!P18=0," ",'weekly hours'!P18/8*'weekly hours'!P$2)</f>
        <v>2680</v>
      </c>
      <c r="Q18" s="2">
        <f>IF('weekly hours'!Q18=0," ",'weekly hours'!Q18/8*'weekly hours'!Q$2)</f>
        <v>2280</v>
      </c>
      <c r="R18" s="2">
        <f>IF('weekly hours'!R18=0," ",'weekly hours'!R18/8*'weekly hours'!R$2)</f>
        <v>2345</v>
      </c>
      <c r="S18" s="2" t="str">
        <f>IF('weekly hours'!S18=0," ",'weekly hours'!S18/8*'weekly hours'!S$2)</f>
        <v xml:space="preserve"> </v>
      </c>
      <c r="T18" s="2" t="str">
        <f>IF('weekly hours'!T18=0," ",'weekly hours'!T18/8*'weekly hours'!T$2)</f>
        <v xml:space="preserve"> </v>
      </c>
      <c r="U18" s="2" t="str">
        <f>IF('weekly hours'!U18=0," ",'weekly hours'!U18/8*'weekly hours'!U$2)</f>
        <v xml:space="preserve"> </v>
      </c>
      <c r="V18" s="2" t="str">
        <f>IF('weekly hours'!V18=0," ",'weekly hours'!V18/8*'weekly hours'!V$2)</f>
        <v xml:space="preserve"> </v>
      </c>
      <c r="W18" s="2"/>
    </row>
    <row r="19" spans="1:23" ht="14.25" customHeight="1" x14ac:dyDescent="0.55000000000000004">
      <c r="A19" s="1">
        <f>'weekly hours'!A19</f>
        <v>16</v>
      </c>
      <c r="B19" s="21">
        <f>'weekly hours'!B19</f>
        <v>45859</v>
      </c>
      <c r="C19" s="21">
        <f>'weekly hours'!C19</f>
        <v>45865</v>
      </c>
      <c r="D19" s="2" t="str">
        <f>IF('weekly hours'!D19=0," ",'weekly hours'!D19/8*'weekly hours'!D$2)</f>
        <v xml:space="preserve"> </v>
      </c>
      <c r="E19" s="2" t="str">
        <f>IF('weekly hours'!E19=0," ",'weekly hours'!E19/8*'weekly hours'!E$2)</f>
        <v xml:space="preserve"> </v>
      </c>
      <c r="F19" s="2" t="str">
        <f>IF('weekly hours'!F19=0," ",'weekly hours'!F19/8*'weekly hours'!F$2)</f>
        <v xml:space="preserve"> </v>
      </c>
      <c r="G19" s="2" t="str">
        <f>IF('weekly hours'!G19=0," ",'weekly hours'!G19/8*'weekly hours'!G$2)</f>
        <v xml:space="preserve"> </v>
      </c>
      <c r="H19" s="2" t="str">
        <f>IF('weekly hours'!H19=0," ",'weekly hours'!H19/8*'weekly hours'!H$2)</f>
        <v xml:space="preserve"> </v>
      </c>
      <c r="I19" s="2" t="str">
        <f>IF('weekly hours'!I19=0," ",'weekly hours'!I19/8*'weekly hours'!I$2)</f>
        <v xml:space="preserve"> </v>
      </c>
      <c r="J19" s="2" t="str">
        <f>IF('weekly hours'!J19=0," ",'weekly hours'!J19/8*'weekly hours'!J$2)</f>
        <v xml:space="preserve"> </v>
      </c>
      <c r="K19" s="2" t="str">
        <f>IF('weekly hours'!K19=0," ",'weekly hours'!K19/8*'weekly hours'!K$2)</f>
        <v xml:space="preserve"> </v>
      </c>
      <c r="L19" s="2" t="str">
        <f>IF('weekly hours'!L19=0," ",'weekly hours'!L19/8*'weekly hours'!L$2)</f>
        <v xml:space="preserve"> </v>
      </c>
      <c r="M19" s="2">
        <f>IF('weekly hours'!M19=0," ",'weekly hours'!M19/8*'weekly hours'!M$2)</f>
        <v>1342</v>
      </c>
      <c r="N19" s="2" t="str">
        <f>IF('weekly hours'!N19=0," ",'weekly hours'!N19/8*'weekly hours'!N$2)</f>
        <v xml:space="preserve"> </v>
      </c>
      <c r="O19" s="2" t="str">
        <f>IF('weekly hours'!O19=0," ",'weekly hours'!O19/8*'weekly hours'!O$2)</f>
        <v xml:space="preserve"> </v>
      </c>
      <c r="P19" s="2">
        <f>IF('weekly hours'!P19=0," ",'weekly hours'!P19/8*'weekly hours'!P$2)</f>
        <v>2680</v>
      </c>
      <c r="Q19" s="2">
        <f>IF('weekly hours'!Q19=0," ",'weekly hours'!Q19/8*'weekly hours'!Q$2)</f>
        <v>2280</v>
      </c>
      <c r="R19" s="2">
        <f>IF('weekly hours'!R19=0," ",'weekly hours'!R19/8*'weekly hours'!R$2)</f>
        <v>2345</v>
      </c>
      <c r="S19" s="2" t="str">
        <f>IF('weekly hours'!S19=0," ",'weekly hours'!S19/8*'weekly hours'!S$2)</f>
        <v xml:space="preserve"> </v>
      </c>
      <c r="T19" s="2" t="str">
        <f>IF('weekly hours'!T19=0," ",'weekly hours'!T19/8*'weekly hours'!T$2)</f>
        <v xml:space="preserve"> </v>
      </c>
      <c r="U19" s="2" t="str">
        <f>IF('weekly hours'!U19=0," ",'weekly hours'!U19/8*'weekly hours'!U$2)</f>
        <v xml:space="preserve"> </v>
      </c>
      <c r="V19" s="2" t="str">
        <f>IF('weekly hours'!V19=0," ",'weekly hours'!V19/8*'weekly hours'!V$2)</f>
        <v xml:space="preserve"> </v>
      </c>
      <c r="W19" s="2"/>
    </row>
    <row r="20" spans="1:23" ht="14.25" customHeight="1" x14ac:dyDescent="0.55000000000000004">
      <c r="A20" s="1">
        <f>'weekly hours'!A20</f>
        <v>17</v>
      </c>
      <c r="B20" s="21">
        <f>'weekly hours'!B20</f>
        <v>45866</v>
      </c>
      <c r="C20" s="21">
        <f>'weekly hours'!C20</f>
        <v>45872</v>
      </c>
      <c r="D20" s="2" t="str">
        <f>IF('weekly hours'!D20=0," ",'weekly hours'!D20/8*'weekly hours'!D$2)</f>
        <v xml:space="preserve"> </v>
      </c>
      <c r="E20" s="2" t="str">
        <f>IF('weekly hours'!E20=0," ",'weekly hours'!E20/8*'weekly hours'!E$2)</f>
        <v xml:space="preserve"> </v>
      </c>
      <c r="F20" s="2" t="str">
        <f>IF('weekly hours'!F20=0," ",'weekly hours'!F20/8*'weekly hours'!F$2)</f>
        <v xml:space="preserve"> </v>
      </c>
      <c r="G20" s="2" t="str">
        <f>IF('weekly hours'!G20=0," ",'weekly hours'!G20/8*'weekly hours'!G$2)</f>
        <v xml:space="preserve"> </v>
      </c>
      <c r="H20" s="2" t="str">
        <f>IF('weekly hours'!H20=0," ",'weekly hours'!H20/8*'weekly hours'!H$2)</f>
        <v xml:space="preserve"> </v>
      </c>
      <c r="I20" s="2" t="str">
        <f>IF('weekly hours'!I20=0," ",'weekly hours'!I20/8*'weekly hours'!I$2)</f>
        <v xml:space="preserve"> </v>
      </c>
      <c r="J20" s="2" t="str">
        <f>IF('weekly hours'!J20=0," ",'weekly hours'!J20/8*'weekly hours'!J$2)</f>
        <v xml:space="preserve"> </v>
      </c>
      <c r="K20" s="2" t="str">
        <f>IF('weekly hours'!K20=0," ",'weekly hours'!K20/8*'weekly hours'!K$2)</f>
        <v xml:space="preserve"> </v>
      </c>
      <c r="L20" s="2" t="str">
        <f>IF('weekly hours'!L20=0," ",'weekly hours'!L20/8*'weekly hours'!L$2)</f>
        <v xml:space="preserve"> </v>
      </c>
      <c r="M20" s="2">
        <f>IF('weekly hours'!M20=0," ",'weekly hours'!M20/8*'weekly hours'!M$2)</f>
        <v>2684</v>
      </c>
      <c r="N20" s="2" t="str">
        <f>IF('weekly hours'!N20=0," ",'weekly hours'!N20/8*'weekly hours'!N$2)</f>
        <v xml:space="preserve"> </v>
      </c>
      <c r="O20" s="2" t="str">
        <f>IF('weekly hours'!O20=0," ",'weekly hours'!O20/8*'weekly hours'!O$2)</f>
        <v xml:space="preserve"> </v>
      </c>
      <c r="P20" s="2">
        <f>IF('weekly hours'!P20=0," ",'weekly hours'!P20/8*'weekly hours'!P$2)</f>
        <v>2680</v>
      </c>
      <c r="Q20" s="2">
        <f>IF('weekly hours'!Q20=0," ",'weekly hours'!Q20/8*'weekly hours'!Q$2)</f>
        <v>2280</v>
      </c>
      <c r="R20" s="2">
        <f>IF('weekly hours'!R20=0," ",'weekly hours'!R20/8*'weekly hours'!R$2)</f>
        <v>2345</v>
      </c>
      <c r="S20" s="2" t="str">
        <f>IF('weekly hours'!S20=0," ",'weekly hours'!S20/8*'weekly hours'!S$2)</f>
        <v xml:space="preserve"> </v>
      </c>
      <c r="T20" s="2" t="str">
        <f>IF('weekly hours'!T20=0," ",'weekly hours'!T20/8*'weekly hours'!T$2)</f>
        <v xml:space="preserve"> </v>
      </c>
      <c r="U20" s="2" t="str">
        <f>IF('weekly hours'!U20=0," ",'weekly hours'!U20/8*'weekly hours'!U$2)</f>
        <v xml:space="preserve"> </v>
      </c>
      <c r="V20" s="2" t="str">
        <f>IF('weekly hours'!V20=0," ",'weekly hours'!V20/8*'weekly hours'!V$2)</f>
        <v xml:space="preserve"> </v>
      </c>
      <c r="W20" s="2"/>
    </row>
    <row r="21" spans="1:23" ht="14.25" customHeight="1" x14ac:dyDescent="0.55000000000000004">
      <c r="A21" s="1">
        <f>'weekly hours'!A21</f>
        <v>18</v>
      </c>
      <c r="B21" s="21">
        <f>'weekly hours'!B21</f>
        <v>45873</v>
      </c>
      <c r="C21" s="21">
        <f>'weekly hours'!C21</f>
        <v>45879</v>
      </c>
      <c r="D21" s="2" t="str">
        <f>IF('weekly hours'!D21=0," ",'weekly hours'!D21/8*'weekly hours'!D$2)</f>
        <v xml:space="preserve"> </v>
      </c>
      <c r="E21" s="2" t="str">
        <f>IF('weekly hours'!E21=0," ",'weekly hours'!E21/8*'weekly hours'!E$2)</f>
        <v xml:space="preserve"> </v>
      </c>
      <c r="F21" s="2" t="str">
        <f>IF('weekly hours'!F21=0," ",'weekly hours'!F21/8*'weekly hours'!F$2)</f>
        <v xml:space="preserve"> </v>
      </c>
      <c r="G21" s="2" t="str">
        <f>IF('weekly hours'!G21=0," ",'weekly hours'!G21/8*'weekly hours'!G$2)</f>
        <v xml:space="preserve"> </v>
      </c>
      <c r="H21" s="2" t="str">
        <f>IF('weekly hours'!H21=0," ",'weekly hours'!H21/8*'weekly hours'!H$2)</f>
        <v xml:space="preserve"> </v>
      </c>
      <c r="I21" s="2" t="str">
        <f>IF('weekly hours'!I21=0," ",'weekly hours'!I21/8*'weekly hours'!I$2)</f>
        <v xml:space="preserve"> </v>
      </c>
      <c r="J21" s="2" t="str">
        <f>IF('weekly hours'!J21=0," ",'weekly hours'!J21/8*'weekly hours'!J$2)</f>
        <v xml:space="preserve"> </v>
      </c>
      <c r="K21" s="2" t="str">
        <f>IF('weekly hours'!K21=0," ",'weekly hours'!K21/8*'weekly hours'!K$2)</f>
        <v xml:space="preserve"> </v>
      </c>
      <c r="L21" s="2" t="str">
        <f>IF('weekly hours'!L21=0," ",'weekly hours'!L21/8*'weekly hours'!L$2)</f>
        <v xml:space="preserve"> </v>
      </c>
      <c r="M21" s="2" t="str">
        <f>IF('weekly hours'!M21=0," ",'weekly hours'!M21/8*'weekly hours'!M$2)</f>
        <v xml:space="preserve"> </v>
      </c>
      <c r="N21" s="2" t="str">
        <f>IF('weekly hours'!N21=0," ",'weekly hours'!N21/8*'weekly hours'!N$2)</f>
        <v xml:space="preserve"> </v>
      </c>
      <c r="O21" s="2" t="str">
        <f>IF('weekly hours'!O21=0," ",'weekly hours'!O21/8*'weekly hours'!O$2)</f>
        <v xml:space="preserve"> </v>
      </c>
      <c r="P21" s="2">
        <f>IF('weekly hours'!P21=0," ",'weekly hours'!P21/8*'weekly hours'!P$2)</f>
        <v>2680</v>
      </c>
      <c r="Q21" s="2">
        <f>IF('weekly hours'!Q21=0," ",'weekly hours'!Q21/8*'weekly hours'!Q$2)</f>
        <v>2280</v>
      </c>
      <c r="R21" s="2">
        <f>IF('weekly hours'!R21=0," ",'weekly hours'!R21/8*'weekly hours'!R$2)</f>
        <v>2345</v>
      </c>
      <c r="S21" s="2">
        <f>IF('weekly hours'!S21=0," ",'weekly hours'!S21/8*'weekly hours'!S$2)</f>
        <v>2680</v>
      </c>
      <c r="T21" s="2" t="str">
        <f>IF('weekly hours'!T21=0," ",'weekly hours'!T21/8*'weekly hours'!T$2)</f>
        <v xml:space="preserve"> </v>
      </c>
      <c r="U21" s="2" t="str">
        <f>IF('weekly hours'!U21=0," ",'weekly hours'!U21/8*'weekly hours'!U$2)</f>
        <v xml:space="preserve"> </v>
      </c>
      <c r="V21" s="2" t="str">
        <f>IF('weekly hours'!V21=0," ",'weekly hours'!V21/8*'weekly hours'!V$2)</f>
        <v xml:space="preserve"> </v>
      </c>
      <c r="W21" s="2"/>
    </row>
    <row r="22" spans="1:23" ht="14.25" customHeight="1" x14ac:dyDescent="0.55000000000000004">
      <c r="A22" s="1">
        <f>'weekly hours'!A22</f>
        <v>19</v>
      </c>
      <c r="B22" s="21">
        <f>'weekly hours'!B22</f>
        <v>45880</v>
      </c>
      <c r="C22" s="21">
        <f>'weekly hours'!C22</f>
        <v>45886</v>
      </c>
      <c r="D22" s="2" t="str">
        <f>IF('weekly hours'!D22=0," ",'weekly hours'!D22/8*'weekly hours'!D$2)</f>
        <v xml:space="preserve"> </v>
      </c>
      <c r="E22" s="2" t="str">
        <f>IF('weekly hours'!E22=0," ",'weekly hours'!E22/8*'weekly hours'!E$2)</f>
        <v xml:space="preserve"> </v>
      </c>
      <c r="F22" s="2" t="str">
        <f>IF('weekly hours'!F22=0," ",'weekly hours'!F22/8*'weekly hours'!F$2)</f>
        <v xml:space="preserve"> </v>
      </c>
      <c r="G22" s="2" t="str">
        <f>IF('weekly hours'!G22=0," ",'weekly hours'!G22/8*'weekly hours'!G$2)</f>
        <v xml:space="preserve"> </v>
      </c>
      <c r="H22" s="2" t="str">
        <f>IF('weekly hours'!H22=0," ",'weekly hours'!H22/8*'weekly hours'!H$2)</f>
        <v xml:space="preserve"> </v>
      </c>
      <c r="I22" s="2" t="str">
        <f>IF('weekly hours'!I22=0," ",'weekly hours'!I22/8*'weekly hours'!I$2)</f>
        <v xml:space="preserve"> </v>
      </c>
      <c r="J22" s="2" t="str">
        <f>IF('weekly hours'!J22=0," ",'weekly hours'!J22/8*'weekly hours'!J$2)</f>
        <v xml:space="preserve"> </v>
      </c>
      <c r="K22" s="2" t="str">
        <f>IF('weekly hours'!K22=0," ",'weekly hours'!K22/8*'weekly hours'!K$2)</f>
        <v xml:space="preserve"> </v>
      </c>
      <c r="L22" s="2" t="str">
        <f>IF('weekly hours'!L22=0," ",'weekly hours'!L22/8*'weekly hours'!L$2)</f>
        <v xml:space="preserve"> </v>
      </c>
      <c r="M22" s="2">
        <f>IF('weekly hours'!M22=0," ",'weekly hours'!M22/8*'weekly hours'!M$2)</f>
        <v>3355</v>
      </c>
      <c r="N22" s="2" t="str">
        <f>IF('weekly hours'!N22=0," ",'weekly hours'!N22/8*'weekly hours'!N$2)</f>
        <v xml:space="preserve"> </v>
      </c>
      <c r="O22" s="2" t="str">
        <f>IF('weekly hours'!O22=0," ",'weekly hours'!O22/8*'weekly hours'!O$2)</f>
        <v xml:space="preserve"> </v>
      </c>
      <c r="P22" s="2">
        <f>IF('weekly hours'!P22=0," ",'weekly hours'!P22/8*'weekly hours'!P$2)</f>
        <v>2680</v>
      </c>
      <c r="Q22" s="2">
        <f>IF('weekly hours'!Q22=0," ",'weekly hours'!Q22/8*'weekly hours'!Q$2)</f>
        <v>2280</v>
      </c>
      <c r="R22" s="2">
        <f>IF('weekly hours'!R22=0," ",'weekly hours'!R22/8*'weekly hours'!R$2)</f>
        <v>2345</v>
      </c>
      <c r="S22" s="2">
        <f>IF('weekly hours'!S22=0," ",'weekly hours'!S22/8*'weekly hours'!S$2)</f>
        <v>2680</v>
      </c>
      <c r="T22" s="2" t="str">
        <f>IF('weekly hours'!T22=0," ",'weekly hours'!T22/8*'weekly hours'!T$2)</f>
        <v xml:space="preserve"> </v>
      </c>
      <c r="U22" s="2" t="str">
        <f>IF('weekly hours'!U22=0," ",'weekly hours'!U22/8*'weekly hours'!U$2)</f>
        <v xml:space="preserve"> </v>
      </c>
      <c r="V22" s="2" t="str">
        <f>IF('weekly hours'!V22=0," ",'weekly hours'!V22/8*'weekly hours'!V$2)</f>
        <v xml:space="preserve"> </v>
      </c>
      <c r="W22" s="2"/>
    </row>
    <row r="23" spans="1:23" ht="14.25" customHeight="1" x14ac:dyDescent="0.55000000000000004">
      <c r="A23" s="1">
        <f>'weekly hours'!A23</f>
        <v>20</v>
      </c>
      <c r="B23" s="21">
        <f>'weekly hours'!B23</f>
        <v>45887</v>
      </c>
      <c r="C23" s="21">
        <f>'weekly hours'!C23</f>
        <v>45893</v>
      </c>
      <c r="D23" s="2" t="str">
        <f>IF('weekly hours'!D23=0," ",'weekly hours'!D23/8*'weekly hours'!D$2)</f>
        <v xml:space="preserve"> </v>
      </c>
      <c r="E23" s="2" t="str">
        <f>IF('weekly hours'!E23=0," ",'weekly hours'!E23/8*'weekly hours'!E$2)</f>
        <v xml:space="preserve"> </v>
      </c>
      <c r="F23" s="2" t="str">
        <f>IF('weekly hours'!F23=0," ",'weekly hours'!F23/8*'weekly hours'!F$2)</f>
        <v xml:space="preserve"> </v>
      </c>
      <c r="G23" s="2" t="str">
        <f>IF('weekly hours'!G23=0," ",'weekly hours'!G23/8*'weekly hours'!G$2)</f>
        <v xml:space="preserve"> </v>
      </c>
      <c r="H23" s="2" t="str">
        <f>IF('weekly hours'!H23=0," ",'weekly hours'!H23/8*'weekly hours'!H$2)</f>
        <v xml:space="preserve"> </v>
      </c>
      <c r="I23" s="2" t="str">
        <f>IF('weekly hours'!I23=0," ",'weekly hours'!I23/8*'weekly hours'!I$2)</f>
        <v xml:space="preserve"> </v>
      </c>
      <c r="J23" s="2" t="str">
        <f>IF('weekly hours'!J23=0," ",'weekly hours'!J23/8*'weekly hours'!J$2)</f>
        <v xml:space="preserve"> </v>
      </c>
      <c r="K23" s="2" t="str">
        <f>IF('weekly hours'!K23=0," ",'weekly hours'!K23/8*'weekly hours'!K$2)</f>
        <v xml:space="preserve"> </v>
      </c>
      <c r="L23" s="2" t="str">
        <f>IF('weekly hours'!L23=0," ",'weekly hours'!L23/8*'weekly hours'!L$2)</f>
        <v xml:space="preserve"> </v>
      </c>
      <c r="M23" s="2">
        <f>IF('weekly hours'!M23=0," ",'weekly hours'!M23/8*'weekly hours'!M$2)</f>
        <v>3355</v>
      </c>
      <c r="N23" s="2" t="str">
        <f>IF('weekly hours'!N23=0," ",'weekly hours'!N23/8*'weekly hours'!N$2)</f>
        <v xml:space="preserve"> </v>
      </c>
      <c r="O23" s="2" t="str">
        <f>IF('weekly hours'!O23=0," ",'weekly hours'!O23/8*'weekly hours'!O$2)</f>
        <v xml:space="preserve"> </v>
      </c>
      <c r="P23" s="2">
        <f>IF('weekly hours'!P23=0," ",'weekly hours'!P23/8*'weekly hours'!P$2)</f>
        <v>2680</v>
      </c>
      <c r="Q23" s="2">
        <f>IF('weekly hours'!Q23=0," ",'weekly hours'!Q23/8*'weekly hours'!Q$2)</f>
        <v>2280</v>
      </c>
      <c r="R23" s="2">
        <f>IF('weekly hours'!R23=0," ",'weekly hours'!R23/8*'weekly hours'!R$2)</f>
        <v>2345</v>
      </c>
      <c r="S23" s="2">
        <f>IF('weekly hours'!S23=0," ",'weekly hours'!S23/8*'weekly hours'!S$2)</f>
        <v>2680</v>
      </c>
      <c r="T23" s="2" t="str">
        <f>IF('weekly hours'!T23=0," ",'weekly hours'!T23/8*'weekly hours'!T$2)</f>
        <v xml:space="preserve"> </v>
      </c>
      <c r="U23" s="2" t="str">
        <f>IF('weekly hours'!U23=0," ",'weekly hours'!U23/8*'weekly hours'!U$2)</f>
        <v xml:space="preserve"> </v>
      </c>
      <c r="V23" s="2" t="str">
        <f>IF('weekly hours'!V23=0," ",'weekly hours'!V23/8*'weekly hours'!V$2)</f>
        <v xml:space="preserve"> </v>
      </c>
      <c r="W23" s="2"/>
    </row>
    <row r="24" spans="1:23" ht="14.25" customHeight="1" x14ac:dyDescent="0.55000000000000004">
      <c r="A24" s="1">
        <f>'weekly hours'!A24</f>
        <v>21</v>
      </c>
      <c r="B24" s="21">
        <f>'weekly hours'!B24</f>
        <v>45894</v>
      </c>
      <c r="C24" s="21">
        <f>'weekly hours'!C24</f>
        <v>45900</v>
      </c>
      <c r="D24" s="2" t="str">
        <f>IF('weekly hours'!D24=0," ",'weekly hours'!D24/8*'weekly hours'!D$2)</f>
        <v xml:space="preserve"> </v>
      </c>
      <c r="E24" s="2" t="str">
        <f>IF('weekly hours'!E24=0," ",'weekly hours'!E24/8*'weekly hours'!E$2)</f>
        <v xml:space="preserve"> </v>
      </c>
      <c r="F24" s="2" t="str">
        <f>IF('weekly hours'!F24=0," ",'weekly hours'!F24/8*'weekly hours'!F$2)</f>
        <v xml:space="preserve"> </v>
      </c>
      <c r="G24" s="2">
        <f>IF('weekly hours'!G24=0," ",'weekly hours'!G24/8*'weekly hours'!G$2)</f>
        <v>671</v>
      </c>
      <c r="H24" s="2">
        <f>IF('weekly hours'!H24=0," ",'weekly hours'!H24/8*'weekly hours'!H$2)</f>
        <v>1072</v>
      </c>
      <c r="I24" s="2">
        <f>IF('weekly hours'!I24=0," ",'weekly hours'!I24/8*'weekly hours'!I$2)</f>
        <v>536</v>
      </c>
      <c r="J24" s="2" t="str">
        <f>IF('weekly hours'!J24=0," ",'weekly hours'!J24/8*'weekly hours'!J$2)</f>
        <v xml:space="preserve"> </v>
      </c>
      <c r="K24" s="2" t="str">
        <f>IF('weekly hours'!K24=0," ",'weekly hours'!K24/8*'weekly hours'!K$2)</f>
        <v xml:space="preserve"> </v>
      </c>
      <c r="L24" s="2" t="str">
        <f>IF('weekly hours'!L24=0," ",'weekly hours'!L24/8*'weekly hours'!L$2)</f>
        <v xml:space="preserve"> </v>
      </c>
      <c r="M24" s="2">
        <f>IF('weekly hours'!M24=0," ",'weekly hours'!M24/8*'weekly hours'!M$2)</f>
        <v>2013</v>
      </c>
      <c r="N24" s="2" t="str">
        <f>IF('weekly hours'!N24=0," ",'weekly hours'!N24/8*'weekly hours'!N$2)</f>
        <v xml:space="preserve"> </v>
      </c>
      <c r="O24" s="2" t="str">
        <f>IF('weekly hours'!O24=0," ",'weekly hours'!O24/8*'weekly hours'!O$2)</f>
        <v xml:space="preserve"> </v>
      </c>
      <c r="P24" s="2" t="str">
        <f>IF('weekly hours'!P24=0," ",'weekly hours'!P24/8*'weekly hours'!P$2)</f>
        <v xml:space="preserve"> </v>
      </c>
      <c r="Q24" s="2">
        <f>IF('weekly hours'!Q24=0," ",'weekly hours'!Q24/8*'weekly hours'!Q$2)</f>
        <v>2280</v>
      </c>
      <c r="R24" s="2">
        <f>IF('weekly hours'!R24=0," ",'weekly hours'!R24/8*'weekly hours'!R$2)</f>
        <v>1876</v>
      </c>
      <c r="S24" s="2">
        <f>IF('weekly hours'!S24=0," ",'weekly hours'!S24/8*'weekly hours'!S$2)</f>
        <v>2680</v>
      </c>
      <c r="T24" s="2" t="str">
        <f>IF('weekly hours'!T24=0," ",'weekly hours'!T24/8*'weekly hours'!T$2)</f>
        <v xml:space="preserve"> </v>
      </c>
      <c r="U24" s="2" t="str">
        <f>IF('weekly hours'!U24=0," ",'weekly hours'!U24/8*'weekly hours'!U$2)</f>
        <v xml:space="preserve"> </v>
      </c>
      <c r="V24" s="2" t="str">
        <f>IF('weekly hours'!V24=0," ",'weekly hours'!V24/8*'weekly hours'!V$2)</f>
        <v xml:space="preserve"> </v>
      </c>
      <c r="W24" s="2"/>
    </row>
    <row r="25" spans="1:23" ht="14.25" customHeight="1" x14ac:dyDescent="0.55000000000000004">
      <c r="A25" s="1">
        <f>'weekly hours'!A25</f>
        <v>22</v>
      </c>
      <c r="B25" s="21">
        <f>'weekly hours'!B25</f>
        <v>45901</v>
      </c>
      <c r="C25" s="21">
        <f>'weekly hours'!C25</f>
        <v>45907</v>
      </c>
      <c r="D25" s="2" t="str">
        <f>IF('weekly hours'!D25=0," ",'weekly hours'!D25/8*'weekly hours'!D$2)</f>
        <v xml:space="preserve"> </v>
      </c>
      <c r="E25" s="2" t="str">
        <f>IF('weekly hours'!E25=0," ",'weekly hours'!E25/8*'weekly hours'!E$2)</f>
        <v xml:space="preserve"> </v>
      </c>
      <c r="F25" s="2" t="str">
        <f>IF('weekly hours'!F25=0," ",'weekly hours'!F25/8*'weekly hours'!F$2)</f>
        <v xml:space="preserve"> </v>
      </c>
      <c r="G25" s="2">
        <f>IF('weekly hours'!G25=0," ",'weekly hours'!G25/8*'weekly hours'!G$2)</f>
        <v>1342</v>
      </c>
      <c r="H25" s="2">
        <f>IF('weekly hours'!H25=0," ",'weekly hours'!H25/8*'weekly hours'!H$2)</f>
        <v>1608</v>
      </c>
      <c r="I25" s="2">
        <f>IF('weekly hours'!I25=0," ",'weekly hours'!I25/8*'weekly hours'!I$2)</f>
        <v>536</v>
      </c>
      <c r="J25" s="2" t="str">
        <f>IF('weekly hours'!J25=0," ",'weekly hours'!J25/8*'weekly hours'!J$2)</f>
        <v xml:space="preserve"> </v>
      </c>
      <c r="K25" s="2" t="str">
        <f>IF('weekly hours'!K25=0," ",'weekly hours'!K25/8*'weekly hours'!K$2)</f>
        <v xml:space="preserve"> </v>
      </c>
      <c r="L25" s="2" t="str">
        <f>IF('weekly hours'!L25=0," ",'weekly hours'!L25/8*'weekly hours'!L$2)</f>
        <v xml:space="preserve"> </v>
      </c>
      <c r="M25" s="2" t="str">
        <f>IF('weekly hours'!M25=0," ",'weekly hours'!M25/8*'weekly hours'!M$2)</f>
        <v xml:space="preserve"> </v>
      </c>
      <c r="N25" s="2" t="str">
        <f>IF('weekly hours'!N25=0," ",'weekly hours'!N25/8*'weekly hours'!N$2)</f>
        <v xml:space="preserve"> </v>
      </c>
      <c r="O25" s="2" t="str">
        <f>IF('weekly hours'!O25=0," ",'weekly hours'!O25/8*'weekly hours'!O$2)</f>
        <v xml:space="preserve"> </v>
      </c>
      <c r="P25" s="2" t="str">
        <f>IF('weekly hours'!P25=0," ",'weekly hours'!P25/8*'weekly hours'!P$2)</f>
        <v xml:space="preserve"> </v>
      </c>
      <c r="Q25" s="2" t="str">
        <f>IF('weekly hours'!Q25=0," ",'weekly hours'!Q25/8*'weekly hours'!Q$2)</f>
        <v xml:space="preserve"> </v>
      </c>
      <c r="R25" s="2" t="str">
        <f>IF('weekly hours'!R25=0," ",'weekly hours'!R25/8*'weekly hours'!R$2)</f>
        <v xml:space="preserve"> </v>
      </c>
      <c r="S25" s="2">
        <f>IF('weekly hours'!S25=0," ",'weekly hours'!S25/8*'weekly hours'!S$2)</f>
        <v>2680</v>
      </c>
      <c r="T25" s="2" t="str">
        <f>IF('weekly hours'!T25=0," ",'weekly hours'!T25/8*'weekly hours'!T$2)</f>
        <v xml:space="preserve"> </v>
      </c>
      <c r="U25" s="2" t="str">
        <f>IF('weekly hours'!U25=0," ",'weekly hours'!U25/8*'weekly hours'!U$2)</f>
        <v xml:space="preserve"> </v>
      </c>
      <c r="V25" s="2" t="str">
        <f>IF('weekly hours'!V25=0," ",'weekly hours'!V25/8*'weekly hours'!V$2)</f>
        <v xml:space="preserve"> </v>
      </c>
      <c r="W25" s="2"/>
    </row>
    <row r="26" spans="1:23" ht="14.25" customHeight="1" x14ac:dyDescent="0.55000000000000004">
      <c r="A26" s="1">
        <f>'weekly hours'!A26</f>
        <v>23</v>
      </c>
      <c r="B26" s="21">
        <f>'weekly hours'!B26</f>
        <v>45908</v>
      </c>
      <c r="C26" s="21">
        <f>'weekly hours'!C26</f>
        <v>45914</v>
      </c>
      <c r="D26" s="2" t="str">
        <f>IF('weekly hours'!D26=0," ",'weekly hours'!D26/8*'weekly hours'!D$2)</f>
        <v xml:space="preserve"> </v>
      </c>
      <c r="E26" s="2" t="str">
        <f>IF('weekly hours'!E26=0," ",'weekly hours'!E26/8*'weekly hours'!E$2)</f>
        <v xml:space="preserve"> </v>
      </c>
      <c r="F26" s="2" t="str">
        <f>IF('weekly hours'!F26=0," ",'weekly hours'!F26/8*'weekly hours'!F$2)</f>
        <v xml:space="preserve"> </v>
      </c>
      <c r="G26" s="2">
        <f>IF('weekly hours'!G26=0," ",'weekly hours'!G26/8*'weekly hours'!G$2)</f>
        <v>671</v>
      </c>
      <c r="H26" s="2">
        <f>IF('weekly hours'!H26=0," ",'weekly hours'!H26/8*'weekly hours'!H$2)</f>
        <v>2010</v>
      </c>
      <c r="I26" s="2">
        <f>IF('weekly hours'!I26=0," ",'weekly hours'!I26/8*'weekly hours'!I$2)</f>
        <v>402</v>
      </c>
      <c r="J26" s="2" t="str">
        <f>IF('weekly hours'!J26=0," ",'weekly hours'!J26/8*'weekly hours'!J$2)</f>
        <v xml:space="preserve"> </v>
      </c>
      <c r="K26" s="2" t="str">
        <f>IF('weekly hours'!K26=0," ",'weekly hours'!K26/8*'weekly hours'!K$2)</f>
        <v xml:space="preserve"> </v>
      </c>
      <c r="L26" s="2" t="str">
        <f>IF('weekly hours'!L26=0," ",'weekly hours'!L26/8*'weekly hours'!L$2)</f>
        <v xml:space="preserve"> </v>
      </c>
      <c r="M26" s="2">
        <f>IF('weekly hours'!M26=0," ",'weekly hours'!M26/8*'weekly hours'!M$2)</f>
        <v>3355</v>
      </c>
      <c r="N26" s="2" t="str">
        <f>IF('weekly hours'!N26=0," ",'weekly hours'!N26/8*'weekly hours'!N$2)</f>
        <v xml:space="preserve"> </v>
      </c>
      <c r="O26" s="2" t="str">
        <f>IF('weekly hours'!O26=0," ",'weekly hours'!O26/8*'weekly hours'!O$2)</f>
        <v xml:space="preserve"> </v>
      </c>
      <c r="P26" s="2">
        <f>IF('weekly hours'!P26=0," ",'weekly hours'!P26/8*'weekly hours'!P$2)</f>
        <v>2144</v>
      </c>
      <c r="Q26" s="2" t="str">
        <f>IF('weekly hours'!Q26=0," ",'weekly hours'!Q26/8*'weekly hours'!Q$2)</f>
        <v xml:space="preserve"> </v>
      </c>
      <c r="R26" s="2" t="str">
        <f>IF('weekly hours'!R26=0," ",'weekly hours'!R26/8*'weekly hours'!R$2)</f>
        <v xml:space="preserve"> </v>
      </c>
      <c r="S26" s="2">
        <f>IF('weekly hours'!S26=0," ",'weekly hours'!S26/8*'weekly hours'!S$2)</f>
        <v>2680</v>
      </c>
      <c r="T26" s="2" t="str">
        <f>IF('weekly hours'!T26=0," ",'weekly hours'!T26/8*'weekly hours'!T$2)</f>
        <v xml:space="preserve"> </v>
      </c>
      <c r="U26" s="2" t="str">
        <f>IF('weekly hours'!U26=0," ",'weekly hours'!U26/8*'weekly hours'!U$2)</f>
        <v xml:space="preserve"> </v>
      </c>
      <c r="V26" s="2" t="str">
        <f>IF('weekly hours'!V26=0," ",'weekly hours'!V26/8*'weekly hours'!V$2)</f>
        <v xml:space="preserve"> </v>
      </c>
      <c r="W26" s="2"/>
    </row>
    <row r="27" spans="1:23" ht="14.25" customHeight="1" x14ac:dyDescent="0.55000000000000004">
      <c r="A27" s="1">
        <f>'weekly hours'!A27</f>
        <v>24</v>
      </c>
      <c r="B27" s="21">
        <f>'weekly hours'!B27</f>
        <v>45915</v>
      </c>
      <c r="C27" s="21">
        <f>'weekly hours'!C27</f>
        <v>45921</v>
      </c>
      <c r="D27" s="2" t="str">
        <f>IF('weekly hours'!D27=0," ",'weekly hours'!D27/8*'weekly hours'!D$2)</f>
        <v xml:space="preserve"> </v>
      </c>
      <c r="E27" s="2" t="str">
        <f>IF('weekly hours'!E27=0," ",'weekly hours'!E27/8*'weekly hours'!E$2)</f>
        <v xml:space="preserve"> </v>
      </c>
      <c r="F27" s="2" t="str">
        <f>IF('weekly hours'!F27=0," ",'weekly hours'!F27/8*'weekly hours'!F$2)</f>
        <v xml:space="preserve"> </v>
      </c>
      <c r="G27" s="2">
        <f>IF('weekly hours'!G27=0," ",'weekly hours'!G27/8*'weekly hours'!G$2)</f>
        <v>419.375</v>
      </c>
      <c r="H27" s="2">
        <f>IF('weekly hours'!H27=0," ",'weekly hours'!H27/8*'weekly hours'!H$2)</f>
        <v>670</v>
      </c>
      <c r="I27" s="2">
        <f>IF('weekly hours'!I27=0," ",'weekly hours'!I27/8*'weekly hours'!I$2)</f>
        <v>67</v>
      </c>
      <c r="J27" s="2" t="str">
        <f>IF('weekly hours'!J27=0," ",'weekly hours'!J27/8*'weekly hours'!J$2)</f>
        <v xml:space="preserve"> </v>
      </c>
      <c r="K27" s="2" t="str">
        <f>IF('weekly hours'!K27=0," ",'weekly hours'!K27/8*'weekly hours'!K$2)</f>
        <v xml:space="preserve"> </v>
      </c>
      <c r="L27" s="2" t="str">
        <f>IF('weekly hours'!L27=0," ",'weekly hours'!L27/8*'weekly hours'!L$2)</f>
        <v xml:space="preserve"> </v>
      </c>
      <c r="M27" s="2">
        <f>IF('weekly hours'!M27=0," ",'weekly hours'!M27/8*'weekly hours'!M$2)</f>
        <v>3355</v>
      </c>
      <c r="N27" s="2" t="str">
        <f>IF('weekly hours'!N27=0," ",'weekly hours'!N27/8*'weekly hours'!N$2)</f>
        <v xml:space="preserve"> </v>
      </c>
      <c r="O27" s="2">
        <f>IF('weekly hours'!O27=0," ",'weekly hours'!O27/8*'weekly hours'!O$2)</f>
        <v>2345</v>
      </c>
      <c r="P27" s="2">
        <f>IF('weekly hours'!P27=0," ",'weekly hours'!P27/8*'weekly hours'!P$2)</f>
        <v>2680</v>
      </c>
      <c r="Q27" s="2">
        <f>IF('weekly hours'!Q27=0," ",'weekly hours'!Q27/8*'weekly hours'!Q$2)</f>
        <v>2280</v>
      </c>
      <c r="R27" s="2">
        <f>IF('weekly hours'!R27=0," ",'weekly hours'!R27/8*'weekly hours'!R$2)</f>
        <v>2345</v>
      </c>
      <c r="S27" s="2">
        <f>IF('weekly hours'!S27=0," ",'weekly hours'!S27/8*'weekly hours'!S$2)</f>
        <v>2680</v>
      </c>
      <c r="T27" s="2" t="str">
        <f>IF('weekly hours'!T27=0," ",'weekly hours'!T27/8*'weekly hours'!T$2)</f>
        <v xml:space="preserve"> </v>
      </c>
      <c r="U27" s="2" t="str">
        <f>IF('weekly hours'!U27=0," ",'weekly hours'!U27/8*'weekly hours'!U$2)</f>
        <v xml:space="preserve"> </v>
      </c>
      <c r="V27" s="2">
        <f>IF('weekly hours'!V27=0," ",'weekly hours'!V27/8*'weekly hours'!V$2)</f>
        <v>2345</v>
      </c>
      <c r="W27" s="2"/>
    </row>
    <row r="28" spans="1:23" ht="14.25" customHeight="1" x14ac:dyDescent="0.55000000000000004">
      <c r="A28" s="1">
        <f>'weekly hours'!A28</f>
        <v>25</v>
      </c>
      <c r="B28" s="21">
        <f>'weekly hours'!B28</f>
        <v>45922</v>
      </c>
      <c r="C28" s="21">
        <f>'weekly hours'!C28</f>
        <v>45928</v>
      </c>
      <c r="D28" s="2" t="str">
        <f>IF('weekly hours'!D28=0," ",'weekly hours'!D28/8*'weekly hours'!D$2)</f>
        <v xml:space="preserve"> </v>
      </c>
      <c r="E28" s="2" t="str">
        <f>IF('weekly hours'!E28=0," ",'weekly hours'!E28/8*'weekly hours'!E$2)</f>
        <v xml:space="preserve"> </v>
      </c>
      <c r="F28" s="2" t="str">
        <f>IF('weekly hours'!F28=0," ",'weekly hours'!F28/8*'weekly hours'!F$2)</f>
        <v xml:space="preserve"> </v>
      </c>
      <c r="G28" s="2">
        <f>IF('weekly hours'!G28=0," ",'weekly hours'!G28/8*'weekly hours'!G$2)</f>
        <v>503.25</v>
      </c>
      <c r="H28" s="2" t="str">
        <f>IF('weekly hours'!H28=0," ",'weekly hours'!H28/8*'weekly hours'!H$2)</f>
        <v xml:space="preserve"> </v>
      </c>
      <c r="I28" s="2">
        <f>IF('weekly hours'!I28=0," ",'weekly hours'!I28/8*'weekly hours'!I$2)</f>
        <v>67</v>
      </c>
      <c r="J28" s="2" t="str">
        <f>IF('weekly hours'!J28=0," ",'weekly hours'!J28/8*'weekly hours'!J$2)</f>
        <v xml:space="preserve"> </v>
      </c>
      <c r="K28" s="2" t="str">
        <f>IF('weekly hours'!K28=0," ",'weekly hours'!K28/8*'weekly hours'!K$2)</f>
        <v xml:space="preserve"> </v>
      </c>
      <c r="L28" s="2" t="str">
        <f>IF('weekly hours'!L28=0," ",'weekly hours'!L28/8*'weekly hours'!L$2)</f>
        <v xml:space="preserve"> </v>
      </c>
      <c r="M28" s="2" t="str">
        <f>IF('weekly hours'!M28=0," ",'weekly hours'!M28/8*'weekly hours'!M$2)</f>
        <v xml:space="preserve"> </v>
      </c>
      <c r="N28" s="2" t="str">
        <f>IF('weekly hours'!N28=0," ",'weekly hours'!N28/8*'weekly hours'!N$2)</f>
        <v xml:space="preserve"> </v>
      </c>
      <c r="O28" s="2">
        <f>IF('weekly hours'!O28=0," ",'weekly hours'!O28/8*'weekly hours'!O$2)</f>
        <v>2345</v>
      </c>
      <c r="P28" s="2">
        <f>IF('weekly hours'!P28=0," ",'weekly hours'!P28/8*'weekly hours'!P$2)</f>
        <v>2680</v>
      </c>
      <c r="Q28" s="2">
        <f>IF('weekly hours'!Q28=0," ",'weekly hours'!Q28/8*'weekly hours'!Q$2)</f>
        <v>2280</v>
      </c>
      <c r="R28" s="2">
        <f>IF('weekly hours'!R28=0," ",'weekly hours'!R28/8*'weekly hours'!R$2)</f>
        <v>2345</v>
      </c>
      <c r="S28" s="2" t="str">
        <f>IF('weekly hours'!S28=0," ",'weekly hours'!S28/8*'weekly hours'!S$2)</f>
        <v xml:space="preserve"> </v>
      </c>
      <c r="T28" s="2" t="str">
        <f>IF('weekly hours'!T28=0," ",'weekly hours'!T28/8*'weekly hours'!T$2)</f>
        <v xml:space="preserve"> </v>
      </c>
      <c r="U28" s="2" t="str">
        <f>IF('weekly hours'!U28=0," ",'weekly hours'!U28/8*'weekly hours'!U$2)</f>
        <v xml:space="preserve"> </v>
      </c>
      <c r="V28" s="2">
        <f>IF('weekly hours'!V28=0," ",'weekly hours'!V28/8*'weekly hours'!V$2)</f>
        <v>938</v>
      </c>
      <c r="W28" s="2"/>
    </row>
    <row r="29" spans="1:23" ht="14.25" customHeight="1" x14ac:dyDescent="0.55000000000000004">
      <c r="A29" s="1">
        <f>'weekly hours'!A29</f>
        <v>26</v>
      </c>
      <c r="B29" s="21">
        <f>'weekly hours'!B29</f>
        <v>45929</v>
      </c>
      <c r="C29" s="21">
        <f>'weekly hours'!C29</f>
        <v>45935</v>
      </c>
      <c r="D29" s="2" t="str">
        <f>IF('weekly hours'!D29=0," ",'weekly hours'!D29/8*'weekly hours'!D$2)</f>
        <v xml:space="preserve"> </v>
      </c>
      <c r="E29" s="2" t="str">
        <f>IF('weekly hours'!E29=0," ",'weekly hours'!E29/8*'weekly hours'!E$2)</f>
        <v xml:space="preserve"> </v>
      </c>
      <c r="F29" s="2" t="str">
        <f>IF('weekly hours'!F29=0," ",'weekly hours'!F29/8*'weekly hours'!F$2)</f>
        <v xml:space="preserve"> </v>
      </c>
      <c r="G29" s="2">
        <f>IF('weekly hours'!G29=0," ",'weekly hours'!G29/8*'weekly hours'!G$2)</f>
        <v>83.875</v>
      </c>
      <c r="H29" s="2" t="str">
        <f>IF('weekly hours'!H29=0," ",'weekly hours'!H29/8*'weekly hours'!H$2)</f>
        <v xml:space="preserve"> </v>
      </c>
      <c r="I29" s="2">
        <f>IF('weekly hours'!I29=0," ",'weekly hours'!I29/8*'weekly hours'!I$2)</f>
        <v>67</v>
      </c>
      <c r="J29" s="2" t="str">
        <f>IF('weekly hours'!J29=0," ",'weekly hours'!J29/8*'weekly hours'!J$2)</f>
        <v xml:space="preserve"> </v>
      </c>
      <c r="K29" s="2" t="str">
        <f>IF('weekly hours'!K29=0," ",'weekly hours'!K29/8*'weekly hours'!K$2)</f>
        <v xml:space="preserve"> </v>
      </c>
      <c r="L29" s="2" t="str">
        <f>IF('weekly hours'!L29=0," ",'weekly hours'!L29/8*'weekly hours'!L$2)</f>
        <v xml:space="preserve"> </v>
      </c>
      <c r="M29" s="2" t="str">
        <f>IF('weekly hours'!M29=0," ",'weekly hours'!M29/8*'weekly hours'!M$2)</f>
        <v xml:space="preserve"> </v>
      </c>
      <c r="N29" s="2" t="str">
        <f>IF('weekly hours'!N29=0," ",'weekly hours'!N29/8*'weekly hours'!N$2)</f>
        <v xml:space="preserve"> </v>
      </c>
      <c r="O29" s="2">
        <f>IF('weekly hours'!O29=0," ",'weekly hours'!O29/8*'weekly hours'!O$2)</f>
        <v>1407</v>
      </c>
      <c r="P29" s="2">
        <f>IF('weekly hours'!P29=0," ",'weekly hours'!P29/8*'weekly hours'!P$2)</f>
        <v>2680</v>
      </c>
      <c r="Q29" s="2">
        <f>IF('weekly hours'!Q29=0," ",'weekly hours'!Q29/8*'weekly hours'!Q$2)</f>
        <v>2280</v>
      </c>
      <c r="R29" s="2">
        <f>IF('weekly hours'!R29=0," ",'weekly hours'!R29/8*'weekly hours'!R$2)</f>
        <v>2345</v>
      </c>
      <c r="S29" s="2">
        <f>IF('weekly hours'!S29=0," ",'weekly hours'!S29/8*'weekly hours'!S$2)</f>
        <v>2680</v>
      </c>
      <c r="T29" s="2" t="str">
        <f>IF('weekly hours'!T29=0," ",'weekly hours'!T29/8*'weekly hours'!T$2)</f>
        <v xml:space="preserve"> </v>
      </c>
      <c r="U29" s="2" t="str">
        <f>IF('weekly hours'!U29=0," ",'weekly hours'!U29/8*'weekly hours'!U$2)</f>
        <v xml:space="preserve"> </v>
      </c>
      <c r="V29" s="2">
        <f>IF('weekly hours'!V29=0," ",'weekly hours'!V29/8*'weekly hours'!V$2)</f>
        <v>1407</v>
      </c>
      <c r="W29" s="2"/>
    </row>
    <row r="30" spans="1:23" ht="14.25" customHeight="1" x14ac:dyDescent="0.55000000000000004">
      <c r="A30" s="1">
        <f>'weekly hours'!A30</f>
        <v>27</v>
      </c>
      <c r="B30" s="21">
        <f>'weekly hours'!B30</f>
        <v>45936</v>
      </c>
      <c r="C30" s="21">
        <f>'weekly hours'!C30</f>
        <v>45942</v>
      </c>
      <c r="D30" s="2" t="str">
        <f>IF('weekly hours'!D30=0," ",'weekly hours'!D30/8*'weekly hours'!D$2)</f>
        <v xml:space="preserve"> </v>
      </c>
      <c r="E30" s="2" t="str">
        <f>IF('weekly hours'!E30=0," ",'weekly hours'!E30/8*'weekly hours'!E$2)</f>
        <v xml:space="preserve"> </v>
      </c>
      <c r="F30" s="2" t="str">
        <f>IF('weekly hours'!F30=0," ",'weekly hours'!F30/8*'weekly hours'!F$2)</f>
        <v xml:space="preserve"> </v>
      </c>
      <c r="G30" s="2">
        <f>IF('weekly hours'!G30=0," ",'weekly hours'!G30/8*'weekly hours'!G$2)</f>
        <v>83.875</v>
      </c>
      <c r="H30" s="2" t="str">
        <f>IF('weekly hours'!H30=0," ",'weekly hours'!H30/8*'weekly hours'!H$2)</f>
        <v xml:space="preserve"> </v>
      </c>
      <c r="I30" s="2">
        <f>IF('weekly hours'!I30=0," ",'weekly hours'!I30/8*'weekly hours'!I$2)</f>
        <v>67</v>
      </c>
      <c r="J30" s="2" t="str">
        <f>IF('weekly hours'!J30=0," ",'weekly hours'!J30/8*'weekly hours'!J$2)</f>
        <v xml:space="preserve"> </v>
      </c>
      <c r="K30" s="2" t="str">
        <f>IF('weekly hours'!K30=0," ",'weekly hours'!K30/8*'weekly hours'!K$2)</f>
        <v xml:space="preserve"> </v>
      </c>
      <c r="L30" s="2" t="str">
        <f>IF('weekly hours'!L30=0," ",'weekly hours'!L30/8*'weekly hours'!L$2)</f>
        <v xml:space="preserve"> </v>
      </c>
      <c r="M30" s="2" t="str">
        <f>IF('weekly hours'!M30=0," ",'weekly hours'!M30/8*'weekly hours'!M$2)</f>
        <v xml:space="preserve"> </v>
      </c>
      <c r="N30" s="2" t="str">
        <f>IF('weekly hours'!N30=0," ",'weekly hours'!N30/8*'weekly hours'!N$2)</f>
        <v xml:space="preserve"> </v>
      </c>
      <c r="O30" s="2" t="str">
        <f>IF('weekly hours'!O30=0," ",'weekly hours'!O30/8*'weekly hours'!O$2)</f>
        <v xml:space="preserve"> </v>
      </c>
      <c r="P30" s="2">
        <f>IF('weekly hours'!P30=0," ",'weekly hours'!P30/8*'weekly hours'!P$2)</f>
        <v>2680</v>
      </c>
      <c r="Q30" s="2">
        <f>IF('weekly hours'!Q30=0," ",'weekly hours'!Q30/8*'weekly hours'!Q$2)</f>
        <v>2280</v>
      </c>
      <c r="R30" s="2" t="str">
        <f>IF('weekly hours'!R30=0," ",'weekly hours'!R30/8*'weekly hours'!R$2)</f>
        <v xml:space="preserve"> </v>
      </c>
      <c r="S30" s="2" t="str">
        <f>IF('weekly hours'!S30=0," ",'weekly hours'!S30/8*'weekly hours'!S$2)</f>
        <v xml:space="preserve"> </v>
      </c>
      <c r="T30" s="2" t="str">
        <f>IF('weekly hours'!T30=0," ",'weekly hours'!T30/8*'weekly hours'!T$2)</f>
        <v xml:space="preserve"> </v>
      </c>
      <c r="U30" s="2" t="str">
        <f>IF('weekly hours'!U30=0," ",'weekly hours'!U30/8*'weekly hours'!U$2)</f>
        <v xml:space="preserve"> </v>
      </c>
      <c r="V30" s="2" t="str">
        <f>IF('weekly hours'!V30=0," ",'weekly hours'!V30/8*'weekly hours'!V$2)</f>
        <v xml:space="preserve"> </v>
      </c>
      <c r="W30" s="2"/>
    </row>
    <row r="31" spans="1:23" ht="14.25" customHeight="1" x14ac:dyDescent="0.55000000000000004">
      <c r="A31" s="1">
        <f>'weekly hours'!A31</f>
        <v>28</v>
      </c>
      <c r="B31" s="21">
        <f>'weekly hours'!B31</f>
        <v>45943</v>
      </c>
      <c r="C31" s="21">
        <f>'weekly hours'!C31</f>
        <v>45949</v>
      </c>
      <c r="D31" s="2" t="str">
        <f>IF('weekly hours'!D31=0," ",'weekly hours'!D31/8*'weekly hours'!D$2)</f>
        <v xml:space="preserve"> </v>
      </c>
      <c r="E31" s="2" t="str">
        <f>IF('weekly hours'!E31=0," ",'weekly hours'!E31/8*'weekly hours'!E$2)</f>
        <v xml:space="preserve"> </v>
      </c>
      <c r="F31" s="2" t="str">
        <f>IF('weekly hours'!F31=0," ",'weekly hours'!F31/8*'weekly hours'!F$2)</f>
        <v xml:space="preserve"> </v>
      </c>
      <c r="G31" s="2">
        <f>IF('weekly hours'!G31=0," ",'weekly hours'!G31/8*'weekly hours'!G$2)</f>
        <v>83.875</v>
      </c>
      <c r="H31" s="2">
        <f>IF('weekly hours'!H31=0," ",'weekly hours'!H31/8*'weekly hours'!H$2)</f>
        <v>335</v>
      </c>
      <c r="I31" s="2">
        <f>IF('weekly hours'!I31=0," ",'weekly hours'!I31/8*'weekly hours'!I$2)</f>
        <v>67</v>
      </c>
      <c r="J31" s="2" t="str">
        <f>IF('weekly hours'!J31=0," ",'weekly hours'!J31/8*'weekly hours'!J$2)</f>
        <v xml:space="preserve"> </v>
      </c>
      <c r="K31" s="2" t="str">
        <f>IF('weekly hours'!K31=0," ",'weekly hours'!K31/8*'weekly hours'!K$2)</f>
        <v xml:space="preserve"> </v>
      </c>
      <c r="L31" s="2" t="str">
        <f>IF('weekly hours'!L31=0," ",'weekly hours'!L31/8*'weekly hours'!L$2)</f>
        <v xml:space="preserve"> </v>
      </c>
      <c r="M31" s="2" t="str">
        <f>IF('weekly hours'!M31=0," ",'weekly hours'!M31/8*'weekly hours'!M$2)</f>
        <v xml:space="preserve"> </v>
      </c>
      <c r="N31" s="2" t="str">
        <f>IF('weekly hours'!N31=0," ",'weekly hours'!N31/8*'weekly hours'!N$2)</f>
        <v xml:space="preserve"> </v>
      </c>
      <c r="O31" s="2">
        <f>IF('weekly hours'!O31=0," ",'weekly hours'!O31/8*'weekly hours'!O$2)</f>
        <v>2345</v>
      </c>
      <c r="P31" s="2">
        <f>IF('weekly hours'!P31=0," ",'weekly hours'!P31/8*'weekly hours'!P$2)</f>
        <v>2680</v>
      </c>
      <c r="Q31" s="2">
        <f>IF('weekly hours'!Q31=0," ",'weekly hours'!Q31/8*'weekly hours'!Q$2)</f>
        <v>2280</v>
      </c>
      <c r="R31" s="2" t="str">
        <f>IF('weekly hours'!R31=0," ",'weekly hours'!R31/8*'weekly hours'!R$2)</f>
        <v xml:space="preserve"> </v>
      </c>
      <c r="S31" s="2" t="str">
        <f>IF('weekly hours'!S31=0," ",'weekly hours'!S31/8*'weekly hours'!S$2)</f>
        <v xml:space="preserve"> </v>
      </c>
      <c r="T31" s="2" t="str">
        <f>IF('weekly hours'!T31=0," ",'weekly hours'!T31/8*'weekly hours'!T$2)</f>
        <v xml:space="preserve"> </v>
      </c>
      <c r="U31" s="2" t="str">
        <f>IF('weekly hours'!U31=0," ",'weekly hours'!U31/8*'weekly hours'!U$2)</f>
        <v xml:space="preserve"> </v>
      </c>
      <c r="V31" s="2">
        <f>IF('weekly hours'!V31=0," ",'weekly hours'!V31/8*'weekly hours'!V$2)</f>
        <v>2345</v>
      </c>
      <c r="W31" s="2"/>
    </row>
    <row r="32" spans="1:23" ht="14.25" customHeight="1" x14ac:dyDescent="0.55000000000000004">
      <c r="A32" s="1">
        <f>'weekly hours'!A32</f>
        <v>29</v>
      </c>
      <c r="B32" s="21">
        <f>'weekly hours'!B32</f>
        <v>45950</v>
      </c>
      <c r="C32" s="21">
        <f>'weekly hours'!C32</f>
        <v>45956</v>
      </c>
      <c r="D32" s="2" t="str">
        <f>IF('weekly hours'!D32=0," ",'weekly hours'!D32/8*'weekly hours'!D$2)</f>
        <v xml:space="preserve"> </v>
      </c>
      <c r="E32" s="2" t="str">
        <f>IF('weekly hours'!E32=0," ",'weekly hours'!E32/8*'weekly hours'!E$2)</f>
        <v xml:space="preserve"> </v>
      </c>
      <c r="F32" s="2" t="str">
        <f>IF('weekly hours'!F32=0," ",'weekly hours'!F32/8*'weekly hours'!F$2)</f>
        <v xml:space="preserve"> </v>
      </c>
      <c r="G32" s="2" t="str">
        <f>IF('weekly hours'!G32=0," ",'weekly hours'!G32/8*'weekly hours'!G$2)</f>
        <v xml:space="preserve"> </v>
      </c>
      <c r="H32" s="2" t="str">
        <f>IF('weekly hours'!H32=0," ",'weekly hours'!H32/8*'weekly hours'!H$2)</f>
        <v xml:space="preserve"> </v>
      </c>
      <c r="I32" s="2">
        <f>IF('weekly hours'!I32=0," ",'weekly hours'!I32/8*'weekly hours'!I$2)</f>
        <v>67</v>
      </c>
      <c r="J32" s="2" t="str">
        <f>IF('weekly hours'!J32=0," ",'weekly hours'!J32/8*'weekly hours'!J$2)</f>
        <v xml:space="preserve"> </v>
      </c>
      <c r="K32" s="2" t="str">
        <f>IF('weekly hours'!K32=0," ",'weekly hours'!K32/8*'weekly hours'!K$2)</f>
        <v xml:space="preserve"> </v>
      </c>
      <c r="L32" s="2">
        <f>IF('weekly hours'!L32=0," ",'weekly hours'!L32/8*'weekly hours'!L$2)</f>
        <v>2684</v>
      </c>
      <c r="M32" s="2" t="str">
        <f>IF('weekly hours'!M32=0," ",'weekly hours'!M32/8*'weekly hours'!M$2)</f>
        <v xml:space="preserve"> </v>
      </c>
      <c r="N32" s="2" t="str">
        <f>IF('weekly hours'!N32=0," ",'weekly hours'!N32/8*'weekly hours'!N$2)</f>
        <v xml:space="preserve"> </v>
      </c>
      <c r="O32" s="2">
        <f>IF('weekly hours'!O32=0," ",'weekly hours'!O32/8*'weekly hours'!O$2)</f>
        <v>2345</v>
      </c>
      <c r="P32" s="2">
        <f>IF('weekly hours'!P32=0," ",'weekly hours'!P32/8*'weekly hours'!P$2)</f>
        <v>2680</v>
      </c>
      <c r="Q32" s="2">
        <f>IF('weekly hours'!Q32=0," ",'weekly hours'!Q32/8*'weekly hours'!Q$2)</f>
        <v>2280</v>
      </c>
      <c r="R32" s="2">
        <f>IF('weekly hours'!R32=0," ",'weekly hours'!R32/8*'weekly hours'!R$2)</f>
        <v>2345</v>
      </c>
      <c r="S32" s="2" t="str">
        <f>IF('weekly hours'!S32=0," ",'weekly hours'!S32/8*'weekly hours'!S$2)</f>
        <v xml:space="preserve"> </v>
      </c>
      <c r="T32" s="2" t="str">
        <f>IF('weekly hours'!T32=0," ",'weekly hours'!T32/8*'weekly hours'!T$2)</f>
        <v xml:space="preserve"> </v>
      </c>
      <c r="U32" s="2" t="str">
        <f>IF('weekly hours'!U32=0," ",'weekly hours'!U32/8*'weekly hours'!U$2)</f>
        <v xml:space="preserve"> </v>
      </c>
      <c r="V32" s="2">
        <f>IF('weekly hours'!V32=0," ",'weekly hours'!V32/8*'weekly hours'!V$2)</f>
        <v>2345</v>
      </c>
      <c r="W32" s="2"/>
    </row>
    <row r="33" spans="1:23" ht="14.25" customHeight="1" x14ac:dyDescent="0.55000000000000004">
      <c r="A33" s="1">
        <f>'weekly hours'!A33</f>
        <v>30</v>
      </c>
      <c r="B33" s="21">
        <f>'weekly hours'!B33</f>
        <v>45957</v>
      </c>
      <c r="C33" s="21">
        <f>'weekly hours'!C33</f>
        <v>45963</v>
      </c>
      <c r="D33" s="2" t="str">
        <f>IF('weekly hours'!D33=0," ",'weekly hours'!D33/8*'weekly hours'!D$2)</f>
        <v xml:space="preserve"> </v>
      </c>
      <c r="E33" s="2" t="str">
        <f>IF('weekly hours'!E33=0," ",'weekly hours'!E33/8*'weekly hours'!E$2)</f>
        <v xml:space="preserve"> </v>
      </c>
      <c r="F33" s="2" t="str">
        <f>IF('weekly hours'!F33=0," ",'weekly hours'!F33/8*'weekly hours'!F$2)</f>
        <v xml:space="preserve"> </v>
      </c>
      <c r="G33" s="2" t="str">
        <f>IF('weekly hours'!G33=0," ",'weekly hours'!G33/8*'weekly hours'!G$2)</f>
        <v xml:space="preserve"> </v>
      </c>
      <c r="H33" s="2" t="str">
        <f>IF('weekly hours'!H33=0," ",'weekly hours'!H33/8*'weekly hours'!H$2)</f>
        <v xml:space="preserve"> </v>
      </c>
      <c r="I33" s="2">
        <f>IF('weekly hours'!I33=0," ",'weekly hours'!I33/8*'weekly hours'!I$2)</f>
        <v>67</v>
      </c>
      <c r="J33" s="2" t="str">
        <f>IF('weekly hours'!J33=0," ",'weekly hours'!J33/8*'weekly hours'!J$2)</f>
        <v xml:space="preserve"> </v>
      </c>
      <c r="K33" s="2" t="str">
        <f>IF('weekly hours'!K33=0," ",'weekly hours'!K33/8*'weekly hours'!K$2)</f>
        <v xml:space="preserve"> </v>
      </c>
      <c r="L33" s="2" t="str">
        <f>IF('weekly hours'!L33=0," ",'weekly hours'!L33/8*'weekly hours'!L$2)</f>
        <v xml:space="preserve"> </v>
      </c>
      <c r="M33" s="2" t="str">
        <f>IF('weekly hours'!M33=0," ",'weekly hours'!M33/8*'weekly hours'!M$2)</f>
        <v xml:space="preserve"> </v>
      </c>
      <c r="N33" s="2" t="str">
        <f>IF('weekly hours'!N33=0," ",'weekly hours'!N33/8*'weekly hours'!N$2)</f>
        <v xml:space="preserve"> </v>
      </c>
      <c r="O33" s="2" t="str">
        <f>IF('weekly hours'!O33=0," ",'weekly hours'!O33/8*'weekly hours'!O$2)</f>
        <v xml:space="preserve"> </v>
      </c>
      <c r="P33" s="2">
        <f>IF('weekly hours'!P33=0," ",'weekly hours'!P33/8*'weekly hours'!P$2)</f>
        <v>2680</v>
      </c>
      <c r="Q33" s="2">
        <f>IF('weekly hours'!Q33=0," ",'weekly hours'!Q33/8*'weekly hours'!Q$2)</f>
        <v>2280</v>
      </c>
      <c r="R33" s="2">
        <f>IF('weekly hours'!R33=0," ",'weekly hours'!R33/8*'weekly hours'!R$2)</f>
        <v>2345</v>
      </c>
      <c r="S33" s="2" t="str">
        <f>IF('weekly hours'!S33=0," ",'weekly hours'!S33/8*'weekly hours'!S$2)</f>
        <v xml:space="preserve"> </v>
      </c>
      <c r="T33" s="2" t="str">
        <f>IF('weekly hours'!T33=0," ",'weekly hours'!T33/8*'weekly hours'!T$2)</f>
        <v xml:space="preserve"> </v>
      </c>
      <c r="U33" s="2" t="str">
        <f>IF('weekly hours'!U33=0," ",'weekly hours'!U33/8*'weekly hours'!U$2)</f>
        <v xml:space="preserve"> </v>
      </c>
      <c r="V33" s="2">
        <f>IF('weekly hours'!V33=0," ",'weekly hours'!V33/8*'weekly hours'!V$2)</f>
        <v>2345</v>
      </c>
      <c r="W33" s="2"/>
    </row>
    <row r="34" spans="1:23" ht="14.25" customHeight="1" x14ac:dyDescent="0.55000000000000004">
      <c r="A34" s="1">
        <f>'weekly hours'!A34</f>
        <v>31</v>
      </c>
      <c r="B34" s="21">
        <f>'weekly hours'!B34</f>
        <v>45964</v>
      </c>
      <c r="C34" s="21">
        <f>'weekly hours'!C34</f>
        <v>45970</v>
      </c>
      <c r="D34" s="2" t="str">
        <f>IF('weekly hours'!D34=0," ",'weekly hours'!D34/8*'weekly hours'!D$2)</f>
        <v xml:space="preserve"> </v>
      </c>
      <c r="E34" s="2" t="str">
        <f>IF('weekly hours'!E34=0," ",'weekly hours'!E34/8*'weekly hours'!E$2)</f>
        <v xml:space="preserve"> </v>
      </c>
      <c r="F34" s="2" t="str">
        <f>IF('weekly hours'!F34=0," ",'weekly hours'!F34/8*'weekly hours'!F$2)</f>
        <v xml:space="preserve"> </v>
      </c>
      <c r="G34" s="2" t="str">
        <f>IF('weekly hours'!G34=0," ",'weekly hours'!G34/8*'weekly hours'!G$2)</f>
        <v xml:space="preserve"> </v>
      </c>
      <c r="H34" s="2" t="str">
        <f>IF('weekly hours'!H34=0," ",'weekly hours'!H34/8*'weekly hours'!H$2)</f>
        <v xml:space="preserve"> </v>
      </c>
      <c r="I34" s="2">
        <f>IF('weekly hours'!I34=0," ",'weekly hours'!I34/8*'weekly hours'!I$2)</f>
        <v>67</v>
      </c>
      <c r="J34" s="2" t="str">
        <f>IF('weekly hours'!J34=0," ",'weekly hours'!J34/8*'weekly hours'!J$2)</f>
        <v xml:space="preserve"> </v>
      </c>
      <c r="K34" s="2" t="str">
        <f>IF('weekly hours'!K34=0," ",'weekly hours'!K34/8*'weekly hours'!K$2)</f>
        <v xml:space="preserve"> </v>
      </c>
      <c r="L34" s="2" t="str">
        <f>IF('weekly hours'!L34=0," ",'weekly hours'!L34/8*'weekly hours'!L$2)</f>
        <v xml:space="preserve"> </v>
      </c>
      <c r="M34" s="2" t="str">
        <f>IF('weekly hours'!M34=0," ",'weekly hours'!M34/8*'weekly hours'!M$2)</f>
        <v xml:space="preserve"> </v>
      </c>
      <c r="N34" s="2" t="str">
        <f>IF('weekly hours'!N34=0," ",'weekly hours'!N34/8*'weekly hours'!N$2)</f>
        <v xml:space="preserve"> </v>
      </c>
      <c r="O34" s="2">
        <f>IF('weekly hours'!O34=0," ",'weekly hours'!O34/8*'weekly hours'!O$2)</f>
        <v>469</v>
      </c>
      <c r="P34" s="2">
        <f>IF('weekly hours'!P34=0," ",'weekly hours'!P34/8*'weekly hours'!P$2)</f>
        <v>2680</v>
      </c>
      <c r="Q34" s="2">
        <f>IF('weekly hours'!Q34=0," ",'weekly hours'!Q34/8*'weekly hours'!Q$2)</f>
        <v>2280</v>
      </c>
      <c r="R34" s="2" t="str">
        <f>IF('weekly hours'!R34=0," ",'weekly hours'!R34/8*'weekly hours'!R$2)</f>
        <v xml:space="preserve"> </v>
      </c>
      <c r="S34" s="2" t="str">
        <f>IF('weekly hours'!S34=0," ",'weekly hours'!S34/8*'weekly hours'!S$2)</f>
        <v xml:space="preserve"> </v>
      </c>
      <c r="T34" s="2" t="str">
        <f>IF('weekly hours'!T34=0," ",'weekly hours'!T34/8*'weekly hours'!T$2)</f>
        <v xml:space="preserve"> </v>
      </c>
      <c r="U34" s="2" t="str">
        <f>IF('weekly hours'!U34=0," ",'weekly hours'!U34/8*'weekly hours'!U$2)</f>
        <v xml:space="preserve"> </v>
      </c>
      <c r="V34" s="2" t="str">
        <f>IF('weekly hours'!V34=0," ",'weekly hours'!V34/8*'weekly hours'!V$2)</f>
        <v xml:space="preserve"> </v>
      </c>
      <c r="W34" s="2"/>
    </row>
    <row r="35" spans="1:23" ht="14.25" customHeight="1" x14ac:dyDescent="0.55000000000000004">
      <c r="A35" s="1">
        <f>'weekly hours'!A35</f>
        <v>32</v>
      </c>
      <c r="B35" s="21">
        <f>'weekly hours'!B35</f>
        <v>45971</v>
      </c>
      <c r="C35" s="21">
        <f>'weekly hours'!C35</f>
        <v>45977</v>
      </c>
      <c r="D35" s="2" t="str">
        <f>IF('weekly hours'!D35=0," ",'weekly hours'!D35/8*'weekly hours'!D$2)</f>
        <v xml:space="preserve"> </v>
      </c>
      <c r="E35" s="2" t="str">
        <f>IF('weekly hours'!E35=0," ",'weekly hours'!E35/8*'weekly hours'!E$2)</f>
        <v xml:space="preserve"> </v>
      </c>
      <c r="F35" s="2" t="str">
        <f>IF('weekly hours'!F35=0," ",'weekly hours'!F35/8*'weekly hours'!F$2)</f>
        <v xml:space="preserve"> </v>
      </c>
      <c r="G35" s="2" t="str">
        <f>IF('weekly hours'!G35=0," ",'weekly hours'!G35/8*'weekly hours'!G$2)</f>
        <v xml:space="preserve"> </v>
      </c>
      <c r="H35" s="2" t="str">
        <f>IF('weekly hours'!H35=0," ",'weekly hours'!H35/8*'weekly hours'!H$2)</f>
        <v xml:space="preserve"> </v>
      </c>
      <c r="I35" s="2">
        <f>IF('weekly hours'!I35=0," ",'weekly hours'!I35/8*'weekly hours'!I$2)</f>
        <v>67</v>
      </c>
      <c r="J35" s="2" t="str">
        <f>IF('weekly hours'!J35=0," ",'weekly hours'!J35/8*'weekly hours'!J$2)</f>
        <v xml:space="preserve"> </v>
      </c>
      <c r="K35" s="2" t="str">
        <f>IF('weekly hours'!K35=0," ",'weekly hours'!K35/8*'weekly hours'!K$2)</f>
        <v xml:space="preserve"> </v>
      </c>
      <c r="L35" s="2" t="str">
        <f>IF('weekly hours'!L35=0," ",'weekly hours'!L35/8*'weekly hours'!L$2)</f>
        <v xml:space="preserve"> </v>
      </c>
      <c r="M35" s="2" t="str">
        <f>IF('weekly hours'!M35=0," ",'weekly hours'!M35/8*'weekly hours'!M$2)</f>
        <v xml:space="preserve"> </v>
      </c>
      <c r="N35" s="2" t="str">
        <f>IF('weekly hours'!N35=0," ",'weekly hours'!N35/8*'weekly hours'!N$2)</f>
        <v xml:space="preserve"> </v>
      </c>
      <c r="O35" s="2">
        <f>IF('weekly hours'!O35=0," ",'weekly hours'!O35/8*'weekly hours'!O$2)</f>
        <v>2345</v>
      </c>
      <c r="P35" s="2" t="str">
        <f>IF('weekly hours'!P35=0," ",'weekly hours'!P35/8*'weekly hours'!P$2)</f>
        <v xml:space="preserve"> </v>
      </c>
      <c r="Q35" s="2" t="str">
        <f>IF('weekly hours'!Q35=0," ",'weekly hours'!Q35/8*'weekly hours'!Q$2)</f>
        <v xml:space="preserve"> </v>
      </c>
      <c r="R35" s="2">
        <f>IF('weekly hours'!R35=0," ",'weekly hours'!R35/8*'weekly hours'!R$2)</f>
        <v>2345</v>
      </c>
      <c r="S35" s="2">
        <f>IF('weekly hours'!S35=0," ",'weekly hours'!S35/8*'weekly hours'!S$2)</f>
        <v>2144</v>
      </c>
      <c r="T35" s="2" t="str">
        <f>IF('weekly hours'!T35=0," ",'weekly hours'!T35/8*'weekly hours'!T$2)</f>
        <v xml:space="preserve"> </v>
      </c>
      <c r="U35" s="2" t="str">
        <f>IF('weekly hours'!U35=0," ",'weekly hours'!U35/8*'weekly hours'!U$2)</f>
        <v xml:space="preserve"> </v>
      </c>
      <c r="V35" s="2">
        <f>IF('weekly hours'!V35=0," ",'weekly hours'!V35/8*'weekly hours'!V$2)</f>
        <v>2345</v>
      </c>
      <c r="W35" s="2"/>
    </row>
    <row r="36" spans="1:23" ht="14.25" customHeight="1" x14ac:dyDescent="0.55000000000000004">
      <c r="A36" s="1">
        <f>'weekly hours'!A36</f>
        <v>33</v>
      </c>
      <c r="B36" s="21">
        <f>'weekly hours'!B36</f>
        <v>45978</v>
      </c>
      <c r="C36" s="21">
        <f>'weekly hours'!C36</f>
        <v>45984</v>
      </c>
      <c r="D36" s="2" t="str">
        <f>IF('weekly hours'!D36=0," ",'weekly hours'!D36/8*'weekly hours'!D$2)</f>
        <v xml:space="preserve"> </v>
      </c>
      <c r="E36" s="2" t="str">
        <f>IF('weekly hours'!E36=0," ",'weekly hours'!E36/8*'weekly hours'!E$2)</f>
        <v xml:space="preserve"> </v>
      </c>
      <c r="F36" s="2" t="str">
        <f>IF('weekly hours'!F36=0," ",'weekly hours'!F36/8*'weekly hours'!F$2)</f>
        <v xml:space="preserve"> </v>
      </c>
      <c r="G36" s="2" t="str">
        <f>IF('weekly hours'!G36=0," ",'weekly hours'!G36/8*'weekly hours'!G$2)</f>
        <v xml:space="preserve"> </v>
      </c>
      <c r="H36" s="2">
        <f>IF('weekly hours'!H36=0," ",'weekly hours'!H36/8*'weekly hours'!H$2)</f>
        <v>67</v>
      </c>
      <c r="I36" s="2">
        <f>IF('weekly hours'!I36=0," ",'weekly hours'!I36/8*'weekly hours'!I$2)</f>
        <v>67</v>
      </c>
      <c r="J36" s="2" t="str">
        <f>IF('weekly hours'!J36=0," ",'weekly hours'!J36/8*'weekly hours'!J$2)</f>
        <v xml:space="preserve"> </v>
      </c>
      <c r="K36" s="2" t="str">
        <f>IF('weekly hours'!K36=0," ",'weekly hours'!K36/8*'weekly hours'!K$2)</f>
        <v xml:space="preserve"> </v>
      </c>
      <c r="L36" s="2" t="str">
        <f>IF('weekly hours'!L36=0," ",'weekly hours'!L36/8*'weekly hours'!L$2)</f>
        <v xml:space="preserve"> </v>
      </c>
      <c r="M36" s="2" t="str">
        <f>IF('weekly hours'!M36=0," ",'weekly hours'!M36/8*'weekly hours'!M$2)</f>
        <v xml:space="preserve"> </v>
      </c>
      <c r="N36" s="2" t="str">
        <f>IF('weekly hours'!N36=0," ",'weekly hours'!N36/8*'weekly hours'!N$2)</f>
        <v xml:space="preserve"> </v>
      </c>
      <c r="O36" s="2">
        <f>IF('weekly hours'!O36=0," ",'weekly hours'!O36/8*'weekly hours'!O$2)</f>
        <v>2345</v>
      </c>
      <c r="P36" s="2" t="str">
        <f>IF('weekly hours'!P36=0," ",'weekly hours'!P36/8*'weekly hours'!P$2)</f>
        <v xml:space="preserve"> </v>
      </c>
      <c r="Q36" s="2" t="str">
        <f>IF('weekly hours'!Q36=0," ",'weekly hours'!Q36/8*'weekly hours'!Q$2)</f>
        <v xml:space="preserve"> </v>
      </c>
      <c r="R36" s="2">
        <f>IF('weekly hours'!R36=0," ",'weekly hours'!R36/8*'weekly hours'!R$2)</f>
        <v>2345</v>
      </c>
      <c r="S36" s="2">
        <f>IF('weekly hours'!S36=0," ",'weekly hours'!S36/8*'weekly hours'!S$2)</f>
        <v>2680</v>
      </c>
      <c r="T36" s="2" t="str">
        <f>IF('weekly hours'!T36=0," ",'weekly hours'!T36/8*'weekly hours'!T$2)</f>
        <v xml:space="preserve"> </v>
      </c>
      <c r="U36" s="2" t="str">
        <f>IF('weekly hours'!U36=0," ",'weekly hours'!U36/8*'weekly hours'!U$2)</f>
        <v xml:space="preserve"> </v>
      </c>
      <c r="V36" s="2">
        <f>IF('weekly hours'!V36=0," ",'weekly hours'!V36/8*'weekly hours'!V$2)</f>
        <v>2345</v>
      </c>
      <c r="W36" s="2"/>
    </row>
    <row r="37" spans="1:23" ht="14.25" customHeight="1" x14ac:dyDescent="0.55000000000000004">
      <c r="A37" s="1">
        <f>'weekly hours'!A37</f>
        <v>34</v>
      </c>
      <c r="B37" s="21">
        <f>'weekly hours'!B37</f>
        <v>45985</v>
      </c>
      <c r="C37" s="21">
        <f>'weekly hours'!C37</f>
        <v>45991</v>
      </c>
      <c r="D37" s="2" t="str">
        <f>IF('weekly hours'!D37=0," ",'weekly hours'!D37/8*'weekly hours'!D$2)</f>
        <v xml:space="preserve"> </v>
      </c>
      <c r="E37" s="2" t="str">
        <f>IF('weekly hours'!E37=0," ",'weekly hours'!E37/8*'weekly hours'!E$2)</f>
        <v xml:space="preserve"> </v>
      </c>
      <c r="F37" s="2" t="str">
        <f>IF('weekly hours'!F37=0," ",'weekly hours'!F37/8*'weekly hours'!F$2)</f>
        <v xml:space="preserve"> </v>
      </c>
      <c r="G37" s="2" t="str">
        <f>IF('weekly hours'!G37=0," ",'weekly hours'!G37/8*'weekly hours'!G$2)</f>
        <v xml:space="preserve"> </v>
      </c>
      <c r="H37" s="2" t="str">
        <f>IF('weekly hours'!H37=0," ",'weekly hours'!H37/8*'weekly hours'!H$2)</f>
        <v xml:space="preserve"> </v>
      </c>
      <c r="I37" s="2">
        <f>IF('weekly hours'!I37=0," ",'weekly hours'!I37/8*'weekly hours'!I$2)</f>
        <v>67</v>
      </c>
      <c r="J37" s="2" t="str">
        <f>IF('weekly hours'!J37=0," ",'weekly hours'!J37/8*'weekly hours'!J$2)</f>
        <v xml:space="preserve"> </v>
      </c>
      <c r="K37" s="2" t="str">
        <f>IF('weekly hours'!K37=0," ",'weekly hours'!K37/8*'weekly hours'!K$2)</f>
        <v xml:space="preserve"> </v>
      </c>
      <c r="L37" s="2" t="str">
        <f>IF('weekly hours'!L37=0," ",'weekly hours'!L37/8*'weekly hours'!L$2)</f>
        <v xml:space="preserve"> </v>
      </c>
      <c r="M37" s="2" t="str">
        <f>IF('weekly hours'!M37=0," ",'weekly hours'!M37/8*'weekly hours'!M$2)</f>
        <v xml:space="preserve"> </v>
      </c>
      <c r="N37" s="2" t="str">
        <f>IF('weekly hours'!N37=0," ",'weekly hours'!N37/8*'weekly hours'!N$2)</f>
        <v xml:space="preserve"> </v>
      </c>
      <c r="O37" s="2" t="str">
        <f>IF('weekly hours'!O37=0," ",'weekly hours'!O37/8*'weekly hours'!O$2)</f>
        <v xml:space="preserve"> </v>
      </c>
      <c r="P37" s="2">
        <f>IF('weekly hours'!P37=0," ",'weekly hours'!P37/8*'weekly hours'!P$2)</f>
        <v>1072</v>
      </c>
      <c r="Q37" s="2" t="str">
        <f>IF('weekly hours'!Q37=0," ",'weekly hours'!Q37/8*'weekly hours'!Q$2)</f>
        <v xml:space="preserve"> </v>
      </c>
      <c r="R37" s="2" t="str">
        <f>IF('weekly hours'!R37=0," ",'weekly hours'!R37/8*'weekly hours'!R$2)</f>
        <v xml:space="preserve"> </v>
      </c>
      <c r="S37" s="2" t="str">
        <f>IF('weekly hours'!S37=0," ",'weekly hours'!S37/8*'weekly hours'!S$2)</f>
        <v xml:space="preserve"> </v>
      </c>
      <c r="T37" s="2" t="str">
        <f>IF('weekly hours'!T37=0," ",'weekly hours'!T37/8*'weekly hours'!T$2)</f>
        <v xml:space="preserve"> </v>
      </c>
      <c r="U37" s="2" t="str">
        <f>IF('weekly hours'!U37=0," ",'weekly hours'!U37/8*'weekly hours'!U$2)</f>
        <v xml:space="preserve"> </v>
      </c>
      <c r="V37" s="2" t="str">
        <f>IF('weekly hours'!V37=0," ",'weekly hours'!V37/8*'weekly hours'!V$2)</f>
        <v xml:space="preserve"> </v>
      </c>
      <c r="W37" s="2"/>
    </row>
    <row r="38" spans="1:23" ht="14.25" customHeight="1" x14ac:dyDescent="0.55000000000000004">
      <c r="A38" s="1">
        <f>'weekly hours'!A38</f>
        <v>35</v>
      </c>
      <c r="B38" s="21">
        <f>'weekly hours'!B38</f>
        <v>45992</v>
      </c>
      <c r="C38" s="21">
        <f>'weekly hours'!C38</f>
        <v>45998</v>
      </c>
      <c r="D38" s="2" t="str">
        <f>IF('weekly hours'!D38=0," ",'weekly hours'!D38/8*'weekly hours'!D$2)</f>
        <v xml:space="preserve"> </v>
      </c>
      <c r="E38" s="2" t="str">
        <f>IF('weekly hours'!E38=0," ",'weekly hours'!E38/8*'weekly hours'!E$2)</f>
        <v xml:space="preserve"> </v>
      </c>
      <c r="F38" s="2" t="str">
        <f>IF('weekly hours'!F38=0," ",'weekly hours'!F38/8*'weekly hours'!F$2)</f>
        <v xml:space="preserve"> </v>
      </c>
      <c r="G38" s="2" t="str">
        <f>IF('weekly hours'!G38=0," ",'weekly hours'!G38/8*'weekly hours'!G$2)</f>
        <v xml:space="preserve"> </v>
      </c>
      <c r="H38" s="2" t="str">
        <f>IF('weekly hours'!H38=0," ",'weekly hours'!H38/8*'weekly hours'!H$2)</f>
        <v xml:space="preserve"> </v>
      </c>
      <c r="I38" s="2">
        <f>IF('weekly hours'!I38=0," ",'weekly hours'!I38/8*'weekly hours'!I$2)</f>
        <v>67</v>
      </c>
      <c r="J38" s="2" t="str">
        <f>IF('weekly hours'!J38=0," ",'weekly hours'!J38/8*'weekly hours'!J$2)</f>
        <v xml:space="preserve"> </v>
      </c>
      <c r="K38" s="2" t="str">
        <f>IF('weekly hours'!K38=0," ",'weekly hours'!K38/8*'weekly hours'!K$2)</f>
        <v xml:space="preserve"> </v>
      </c>
      <c r="L38" s="2" t="str">
        <f>IF('weekly hours'!L38=0," ",'weekly hours'!L38/8*'weekly hours'!L$2)</f>
        <v xml:space="preserve"> </v>
      </c>
      <c r="M38" s="2" t="str">
        <f>IF('weekly hours'!M38=0," ",'weekly hours'!M38/8*'weekly hours'!M$2)</f>
        <v xml:space="preserve"> </v>
      </c>
      <c r="N38" s="2" t="str">
        <f>IF('weekly hours'!N38=0," ",'weekly hours'!N38/8*'weekly hours'!N$2)</f>
        <v xml:space="preserve"> </v>
      </c>
      <c r="O38" s="2">
        <f>IF('weekly hours'!O38=0," ",'weekly hours'!O38/8*'weekly hours'!O$2)</f>
        <v>2345</v>
      </c>
      <c r="P38" s="2">
        <f>IF('weekly hours'!P38=0," ",'weekly hours'!P38/8*'weekly hours'!P$2)</f>
        <v>2680</v>
      </c>
      <c r="Q38" s="2">
        <f>IF('weekly hours'!Q38=0," ",'weekly hours'!Q38/8*'weekly hours'!Q$2)</f>
        <v>2280</v>
      </c>
      <c r="R38" s="2">
        <f>IF('weekly hours'!R38=0," ",'weekly hours'!R38/8*'weekly hours'!R$2)</f>
        <v>2345</v>
      </c>
      <c r="S38" s="2" t="str">
        <f>IF('weekly hours'!S38=0," ",'weekly hours'!S38/8*'weekly hours'!S$2)</f>
        <v xml:space="preserve"> </v>
      </c>
      <c r="T38" s="2" t="str">
        <f>IF('weekly hours'!T38=0," ",'weekly hours'!T38/8*'weekly hours'!T$2)</f>
        <v xml:space="preserve"> </v>
      </c>
      <c r="U38" s="2" t="str">
        <f>IF('weekly hours'!U38=0," ",'weekly hours'!U38/8*'weekly hours'!U$2)</f>
        <v xml:space="preserve"> </v>
      </c>
      <c r="V38" s="2" t="str">
        <f>IF('weekly hours'!V38=0," ",'weekly hours'!V38/8*'weekly hours'!V$2)</f>
        <v xml:space="preserve"> </v>
      </c>
      <c r="W38" s="2"/>
    </row>
    <row r="39" spans="1:23" ht="14.25" customHeight="1" x14ac:dyDescent="0.55000000000000004">
      <c r="A39" s="1">
        <f>'weekly hours'!A39</f>
        <v>36</v>
      </c>
      <c r="B39" s="21">
        <f>'weekly hours'!B39</f>
        <v>45999</v>
      </c>
      <c r="C39" s="21">
        <f>'weekly hours'!C39</f>
        <v>46005</v>
      </c>
      <c r="D39" s="2" t="str">
        <f>IF('weekly hours'!D39=0," ",'weekly hours'!D39/8*'weekly hours'!D$2)</f>
        <v xml:space="preserve"> </v>
      </c>
      <c r="E39" s="2" t="str">
        <f>IF('weekly hours'!E39=0," ",'weekly hours'!E39/8*'weekly hours'!E$2)</f>
        <v xml:space="preserve"> </v>
      </c>
      <c r="F39" s="2" t="str">
        <f>IF('weekly hours'!F39=0," ",'weekly hours'!F39/8*'weekly hours'!F$2)</f>
        <v xml:space="preserve"> </v>
      </c>
      <c r="G39" s="2" t="str">
        <f>IF('weekly hours'!G39=0," ",'weekly hours'!G39/8*'weekly hours'!G$2)</f>
        <v xml:space="preserve"> </v>
      </c>
      <c r="H39" s="2" t="str">
        <f>IF('weekly hours'!H39=0," ",'weekly hours'!H39/8*'weekly hours'!H$2)</f>
        <v xml:space="preserve"> </v>
      </c>
      <c r="I39" s="2" t="str">
        <f>IF('weekly hours'!I39=0," ",'weekly hours'!I39/8*'weekly hours'!I$2)</f>
        <v xml:space="preserve"> </v>
      </c>
      <c r="J39" s="2" t="str">
        <f>IF('weekly hours'!J39=0," ",'weekly hours'!J39/8*'weekly hours'!J$2)</f>
        <v xml:space="preserve"> </v>
      </c>
      <c r="K39" s="2" t="str">
        <f>IF('weekly hours'!K39=0," ",'weekly hours'!K39/8*'weekly hours'!K$2)</f>
        <v xml:space="preserve"> </v>
      </c>
      <c r="L39" s="2">
        <f>IF('weekly hours'!L39=0," ",'weekly hours'!L39/8*'weekly hours'!L$2)</f>
        <v>3355</v>
      </c>
      <c r="M39" s="2" t="str">
        <f>IF('weekly hours'!M39=0," ",'weekly hours'!M39/8*'weekly hours'!M$2)</f>
        <v xml:space="preserve"> </v>
      </c>
      <c r="N39" s="2" t="str">
        <f>IF('weekly hours'!N39=0," ",'weekly hours'!N39/8*'weekly hours'!N$2)</f>
        <v xml:space="preserve"> </v>
      </c>
      <c r="O39" s="2">
        <f>IF('weekly hours'!O39=0," ",'weekly hours'!O39/8*'weekly hours'!O$2)</f>
        <v>2345</v>
      </c>
      <c r="P39" s="2">
        <f>IF('weekly hours'!P39=0," ",'weekly hours'!P39/8*'weekly hours'!P$2)</f>
        <v>2680</v>
      </c>
      <c r="Q39" s="2">
        <f>IF('weekly hours'!Q39=0," ",'weekly hours'!Q39/8*'weekly hours'!Q$2)</f>
        <v>2280</v>
      </c>
      <c r="R39" s="2">
        <f>IF('weekly hours'!R39=0," ",'weekly hours'!R39/8*'weekly hours'!R$2)</f>
        <v>2345</v>
      </c>
      <c r="S39" s="2" t="str">
        <f>IF('weekly hours'!S39=0," ",'weekly hours'!S39/8*'weekly hours'!S$2)</f>
        <v xml:space="preserve"> </v>
      </c>
      <c r="T39" s="2" t="str">
        <f>IF('weekly hours'!T39=0," ",'weekly hours'!T39/8*'weekly hours'!T$2)</f>
        <v xml:space="preserve"> </v>
      </c>
      <c r="U39" s="2" t="str">
        <f>IF('weekly hours'!U39=0," ",'weekly hours'!U39/8*'weekly hours'!U$2)</f>
        <v xml:space="preserve"> </v>
      </c>
      <c r="V39" s="2">
        <f>IF('weekly hours'!V39=0," ",'weekly hours'!V39/8*'weekly hours'!V$2)</f>
        <v>2345</v>
      </c>
      <c r="W39" s="2"/>
    </row>
    <row r="40" spans="1:23" ht="14.25" customHeight="1" x14ac:dyDescent="0.55000000000000004">
      <c r="A40" s="1">
        <f>'weekly hours'!A40</f>
        <v>37</v>
      </c>
      <c r="B40" s="21">
        <f>'weekly hours'!B40</f>
        <v>46006</v>
      </c>
      <c r="C40" s="21">
        <f>'weekly hours'!C40</f>
        <v>46012</v>
      </c>
      <c r="D40" s="2" t="str">
        <f>IF('weekly hours'!D40=0," ",'weekly hours'!D40/8*'weekly hours'!D$2)</f>
        <v xml:space="preserve"> </v>
      </c>
      <c r="E40" s="2" t="str">
        <f>IF('weekly hours'!E40=0," ",'weekly hours'!E40/8*'weekly hours'!E$2)</f>
        <v xml:space="preserve"> </v>
      </c>
      <c r="F40" s="2" t="str">
        <f>IF('weekly hours'!F40=0," ",'weekly hours'!F40/8*'weekly hours'!F$2)</f>
        <v xml:space="preserve"> </v>
      </c>
      <c r="G40" s="2" t="str">
        <f>IF('weekly hours'!G40=0," ",'weekly hours'!G40/8*'weekly hours'!G$2)</f>
        <v xml:space="preserve"> </v>
      </c>
      <c r="H40" s="2" t="str">
        <f>IF('weekly hours'!H40=0," ",'weekly hours'!H40/8*'weekly hours'!H$2)</f>
        <v xml:space="preserve"> </v>
      </c>
      <c r="I40" s="2" t="str">
        <f>IF('weekly hours'!I40=0," ",'weekly hours'!I40/8*'weekly hours'!I$2)</f>
        <v xml:space="preserve"> </v>
      </c>
      <c r="J40" s="2" t="str">
        <f>IF('weekly hours'!J40=0," ",'weekly hours'!J40/8*'weekly hours'!J$2)</f>
        <v xml:space="preserve"> </v>
      </c>
      <c r="K40" s="2" t="str">
        <f>IF('weekly hours'!K40=0," ",'weekly hours'!K40/8*'weekly hours'!K$2)</f>
        <v xml:space="preserve"> </v>
      </c>
      <c r="L40" s="2">
        <f>IF('weekly hours'!L40=0," ",'weekly hours'!L40/8*'weekly hours'!L$2)</f>
        <v>3355</v>
      </c>
      <c r="M40" s="2" t="str">
        <f>IF('weekly hours'!M40=0," ",'weekly hours'!M40/8*'weekly hours'!M$2)</f>
        <v xml:space="preserve"> </v>
      </c>
      <c r="N40" s="2" t="str">
        <f>IF('weekly hours'!N40=0," ",'weekly hours'!N40/8*'weekly hours'!N$2)</f>
        <v xml:space="preserve"> </v>
      </c>
      <c r="O40" s="2">
        <f>IF('weekly hours'!O40=0," ",'weekly hours'!O40/8*'weekly hours'!O$2)</f>
        <v>2345</v>
      </c>
      <c r="P40" s="2">
        <f>IF('weekly hours'!P40=0," ",'weekly hours'!P40/8*'weekly hours'!P$2)</f>
        <v>2680</v>
      </c>
      <c r="Q40" s="2">
        <f>IF('weekly hours'!Q40=0," ",'weekly hours'!Q40/8*'weekly hours'!Q$2)</f>
        <v>2280</v>
      </c>
      <c r="R40" s="2">
        <f>IF('weekly hours'!R40=0," ",'weekly hours'!R40/8*'weekly hours'!R$2)</f>
        <v>2345</v>
      </c>
      <c r="S40" s="2" t="str">
        <f>IF('weekly hours'!S40=0," ",'weekly hours'!S40/8*'weekly hours'!S$2)</f>
        <v xml:space="preserve"> </v>
      </c>
      <c r="T40" s="2">
        <f>IF('weekly hours'!T40=0," ",'weekly hours'!T40/8*'weekly hours'!T$2)</f>
        <v>2680</v>
      </c>
      <c r="U40" s="2" t="str">
        <f>IF('weekly hours'!U40=0," ",'weekly hours'!U40/8*'weekly hours'!U$2)</f>
        <v xml:space="preserve"> </v>
      </c>
      <c r="V40" s="2">
        <f>IF('weekly hours'!V40=0," ",'weekly hours'!V40/8*'weekly hours'!V$2)</f>
        <v>2345</v>
      </c>
      <c r="W40" s="2"/>
    </row>
    <row r="41" spans="1:23" ht="14.25" customHeight="1" x14ac:dyDescent="0.55000000000000004">
      <c r="A41" s="1">
        <f>'weekly hours'!A41</f>
        <v>38</v>
      </c>
      <c r="B41" s="21">
        <f>'weekly hours'!B41</f>
        <v>46013</v>
      </c>
      <c r="C41" s="21">
        <f>'weekly hours'!C41</f>
        <v>46019</v>
      </c>
      <c r="D41" s="2" t="str">
        <f>IF('weekly hours'!D41=0," ",'weekly hours'!D41/8*'weekly hours'!D$2)</f>
        <v xml:space="preserve"> </v>
      </c>
      <c r="E41" s="2" t="str">
        <f>IF('weekly hours'!E41=0," ",'weekly hours'!E41/8*'weekly hours'!E$2)</f>
        <v xml:space="preserve"> </v>
      </c>
      <c r="F41" s="2" t="str">
        <f>IF('weekly hours'!F41=0," ",'weekly hours'!F41/8*'weekly hours'!F$2)</f>
        <v xml:space="preserve"> </v>
      </c>
      <c r="G41" s="2" t="str">
        <f>IF('weekly hours'!G41=0," ",'weekly hours'!G41/8*'weekly hours'!G$2)</f>
        <v xml:space="preserve"> </v>
      </c>
      <c r="H41" s="2" t="str">
        <f>IF('weekly hours'!H41=0," ",'weekly hours'!H41/8*'weekly hours'!H$2)</f>
        <v xml:space="preserve"> </v>
      </c>
      <c r="I41" s="2" t="str">
        <f>IF('weekly hours'!I41=0," ",'weekly hours'!I41/8*'weekly hours'!I$2)</f>
        <v xml:space="preserve"> </v>
      </c>
      <c r="J41" s="2" t="str">
        <f>IF('weekly hours'!J41=0," ",'weekly hours'!J41/8*'weekly hours'!J$2)</f>
        <v xml:space="preserve"> </v>
      </c>
      <c r="K41" s="2" t="str">
        <f>IF('weekly hours'!K41=0," ",'weekly hours'!K41/8*'weekly hours'!K$2)</f>
        <v xml:space="preserve"> </v>
      </c>
      <c r="L41" s="2" t="str">
        <f>IF('weekly hours'!L41=0," ",'weekly hours'!L41/8*'weekly hours'!L$2)</f>
        <v xml:space="preserve"> </v>
      </c>
      <c r="M41" s="2" t="str">
        <f>IF('weekly hours'!M41=0," ",'weekly hours'!M41/8*'weekly hours'!M$2)</f>
        <v xml:space="preserve"> </v>
      </c>
      <c r="N41" s="2" t="str">
        <f>IF('weekly hours'!N41=0," ",'weekly hours'!N41/8*'weekly hours'!N$2)</f>
        <v xml:space="preserve"> </v>
      </c>
      <c r="O41" s="2" t="str">
        <f>IF('weekly hours'!O41=0," ",'weekly hours'!O41/8*'weekly hours'!O$2)</f>
        <v xml:space="preserve"> </v>
      </c>
      <c r="P41" s="2">
        <f>IF('weekly hours'!P41=0," ",'weekly hours'!P41/8*'weekly hours'!P$2)</f>
        <v>1608</v>
      </c>
      <c r="Q41" s="2" t="str">
        <f>IF('weekly hours'!Q41=0," ",'weekly hours'!Q41/8*'weekly hours'!Q$2)</f>
        <v xml:space="preserve"> </v>
      </c>
      <c r="R41" s="2" t="str">
        <f>IF('weekly hours'!R41=0," ",'weekly hours'!R41/8*'weekly hours'!R$2)</f>
        <v xml:space="preserve"> </v>
      </c>
      <c r="S41" s="2" t="str">
        <f>IF('weekly hours'!S41=0," ",'weekly hours'!S41/8*'weekly hours'!S$2)</f>
        <v xml:space="preserve"> </v>
      </c>
      <c r="T41" s="2" t="str">
        <f>IF('weekly hours'!T41=0," ",'weekly hours'!T41/8*'weekly hours'!T$2)</f>
        <v xml:space="preserve"> </v>
      </c>
      <c r="U41" s="2" t="str">
        <f>IF('weekly hours'!U41=0," ",'weekly hours'!U41/8*'weekly hours'!U$2)</f>
        <v xml:space="preserve"> </v>
      </c>
      <c r="V41" s="2" t="str">
        <f>IF('weekly hours'!V41=0," ",'weekly hours'!V41/8*'weekly hours'!V$2)</f>
        <v xml:space="preserve"> </v>
      </c>
      <c r="W41" s="2"/>
    </row>
    <row r="42" spans="1:23" ht="14.25" customHeight="1" x14ac:dyDescent="0.55000000000000004">
      <c r="A42" s="1">
        <f>'weekly hours'!A42</f>
        <v>39</v>
      </c>
      <c r="B42" s="21">
        <f>'weekly hours'!B42</f>
        <v>46020</v>
      </c>
      <c r="C42" s="21">
        <f>'weekly hours'!C42</f>
        <v>46026</v>
      </c>
      <c r="D42" s="2" t="str">
        <f>IF('weekly hours'!D42=0," ",'weekly hours'!D42/8*'weekly hours'!D$2)</f>
        <v xml:space="preserve"> </v>
      </c>
      <c r="E42" s="2" t="str">
        <f>IF('weekly hours'!E42=0," ",'weekly hours'!E42/8*'weekly hours'!E$2)</f>
        <v xml:space="preserve"> </v>
      </c>
      <c r="F42" s="2" t="str">
        <f>IF('weekly hours'!F42=0," ",'weekly hours'!F42/8*'weekly hours'!F$2)</f>
        <v xml:space="preserve"> </v>
      </c>
      <c r="G42" s="2" t="str">
        <f>IF('weekly hours'!G42=0," ",'weekly hours'!G42/8*'weekly hours'!G$2)</f>
        <v xml:space="preserve"> </v>
      </c>
      <c r="H42" s="2" t="str">
        <f>IF('weekly hours'!H42=0," ",'weekly hours'!H42/8*'weekly hours'!H$2)</f>
        <v xml:space="preserve"> </v>
      </c>
      <c r="I42" s="2" t="str">
        <f>IF('weekly hours'!I42=0," ",'weekly hours'!I42/8*'weekly hours'!I$2)</f>
        <v xml:space="preserve"> </v>
      </c>
      <c r="J42" s="2" t="str">
        <f>IF('weekly hours'!J42=0," ",'weekly hours'!J42/8*'weekly hours'!J$2)</f>
        <v xml:space="preserve"> </v>
      </c>
      <c r="K42" s="2" t="str">
        <f>IF('weekly hours'!K42=0," ",'weekly hours'!K42/8*'weekly hours'!K$2)</f>
        <v xml:space="preserve"> </v>
      </c>
      <c r="L42" s="2" t="str">
        <f>IF('weekly hours'!L42=0," ",'weekly hours'!L42/8*'weekly hours'!L$2)</f>
        <v xml:space="preserve"> </v>
      </c>
      <c r="M42" s="2" t="str">
        <f>IF('weekly hours'!M42=0," ",'weekly hours'!M42/8*'weekly hours'!M$2)</f>
        <v xml:space="preserve"> </v>
      </c>
      <c r="N42" s="2" t="str">
        <f>IF('weekly hours'!N42=0," ",'weekly hours'!N42/8*'weekly hours'!N$2)</f>
        <v xml:space="preserve"> </v>
      </c>
      <c r="O42" s="2" t="str">
        <f>IF('weekly hours'!O42=0," ",'weekly hours'!O42/8*'weekly hours'!O$2)</f>
        <v xml:space="preserve"> </v>
      </c>
      <c r="P42" s="2">
        <f>IF('weekly hours'!P42=0," ",'weekly hours'!P42/8*'weekly hours'!P$2)</f>
        <v>536</v>
      </c>
      <c r="Q42" s="2">
        <f>IF('weekly hours'!Q42=0," ",'weekly hours'!Q42/8*'weekly hours'!Q$2)</f>
        <v>456</v>
      </c>
      <c r="R42" s="2" t="str">
        <f>IF('weekly hours'!R42=0," ",'weekly hours'!R42/8*'weekly hours'!R$2)</f>
        <v xml:space="preserve"> </v>
      </c>
      <c r="S42" s="2" t="str">
        <f>IF('weekly hours'!S42=0," ",'weekly hours'!S42/8*'weekly hours'!S$2)</f>
        <v xml:space="preserve"> </v>
      </c>
      <c r="T42" s="2" t="str">
        <f>IF('weekly hours'!T42=0," ",'weekly hours'!T42/8*'weekly hours'!T$2)</f>
        <v xml:space="preserve"> </v>
      </c>
      <c r="U42" s="2" t="str">
        <f>IF('weekly hours'!U42=0," ",'weekly hours'!U42/8*'weekly hours'!U$2)</f>
        <v xml:space="preserve"> </v>
      </c>
      <c r="V42" s="2" t="str">
        <f>IF('weekly hours'!V42=0," ",'weekly hours'!V42/8*'weekly hours'!V$2)</f>
        <v xml:space="preserve"> </v>
      </c>
      <c r="W42" s="2"/>
    </row>
    <row r="43" spans="1:23" ht="14.25" customHeight="1" x14ac:dyDescent="0.55000000000000004">
      <c r="A43" s="1">
        <f>'weekly hours'!A43</f>
        <v>40</v>
      </c>
      <c r="B43" s="21">
        <f>'weekly hours'!B43</f>
        <v>46027</v>
      </c>
      <c r="C43" s="21">
        <f>'weekly hours'!C43</f>
        <v>46033</v>
      </c>
      <c r="D43" s="2" t="str">
        <f>IF('weekly hours'!D43=0," ",'weekly hours'!D43/8*'weekly hours'!D$2)</f>
        <v xml:space="preserve"> </v>
      </c>
      <c r="E43" s="2" t="str">
        <f>IF('weekly hours'!E43=0," ",'weekly hours'!E43/8*'weekly hours'!E$2)</f>
        <v xml:space="preserve"> </v>
      </c>
      <c r="F43" s="2" t="str">
        <f>IF('weekly hours'!F43=0," ",'weekly hours'!F43/8*'weekly hours'!F$2)</f>
        <v xml:space="preserve"> </v>
      </c>
      <c r="G43" s="2" t="str">
        <f>IF('weekly hours'!G43=0," ",'weekly hours'!G43/8*'weekly hours'!G$2)</f>
        <v xml:space="preserve"> </v>
      </c>
      <c r="H43" s="2" t="str">
        <f>IF('weekly hours'!H43=0," ",'weekly hours'!H43/8*'weekly hours'!H$2)</f>
        <v xml:space="preserve"> </v>
      </c>
      <c r="I43" s="2" t="str">
        <f>IF('weekly hours'!I43=0," ",'weekly hours'!I43/8*'weekly hours'!I$2)</f>
        <v xml:space="preserve"> </v>
      </c>
      <c r="J43" s="2" t="str">
        <f>IF('weekly hours'!J43=0," ",'weekly hours'!J43/8*'weekly hours'!J$2)</f>
        <v xml:space="preserve"> </v>
      </c>
      <c r="K43" s="2" t="str">
        <f>IF('weekly hours'!K43=0," ",'weekly hours'!K43/8*'weekly hours'!K$2)</f>
        <v xml:space="preserve"> </v>
      </c>
      <c r="L43" s="2">
        <f>IF('weekly hours'!L43=0," ",'weekly hours'!L43/8*'weekly hours'!L$2)</f>
        <v>2684</v>
      </c>
      <c r="M43" s="2" t="str">
        <f>IF('weekly hours'!M43=0," ",'weekly hours'!M43/8*'weekly hours'!M$2)</f>
        <v xml:space="preserve"> </v>
      </c>
      <c r="N43" s="2" t="str">
        <f>IF('weekly hours'!N43=0," ",'weekly hours'!N43/8*'weekly hours'!N$2)</f>
        <v xml:space="preserve"> </v>
      </c>
      <c r="O43" s="2" t="str">
        <f>IF('weekly hours'!O43=0," ",'weekly hours'!O43/8*'weekly hours'!O$2)</f>
        <v xml:space="preserve"> </v>
      </c>
      <c r="P43" s="2">
        <f>IF('weekly hours'!P43=0," ",'weekly hours'!P43/8*'weekly hours'!P$2)</f>
        <v>2680</v>
      </c>
      <c r="Q43" s="2">
        <f>IF('weekly hours'!Q43=0," ",'weekly hours'!Q43/8*'weekly hours'!Q$2)</f>
        <v>2280</v>
      </c>
      <c r="R43" s="2" t="str">
        <f>IF('weekly hours'!R43=0," ",'weekly hours'!R43/8*'weekly hours'!R$2)</f>
        <v xml:space="preserve"> </v>
      </c>
      <c r="S43" s="2">
        <f>IF('weekly hours'!S43=0," ",'weekly hours'!S43/8*'weekly hours'!S$2)</f>
        <v>2144</v>
      </c>
      <c r="T43" s="2" t="str">
        <f>IF('weekly hours'!T43=0," ",'weekly hours'!T43/8*'weekly hours'!T$2)</f>
        <v xml:space="preserve"> </v>
      </c>
      <c r="U43" s="2">
        <f>IF('weekly hours'!U43=0," ",'weekly hours'!U43/8*'weekly hours'!U$2)</f>
        <v>1876</v>
      </c>
      <c r="V43" s="2" t="str">
        <f>IF('weekly hours'!V43=0," ",'weekly hours'!V43/8*'weekly hours'!V$2)</f>
        <v xml:space="preserve"> </v>
      </c>
      <c r="W43" s="2"/>
    </row>
    <row r="44" spans="1:23" ht="14.25" customHeight="1" x14ac:dyDescent="0.55000000000000004">
      <c r="A44" s="1">
        <f>'weekly hours'!A44</f>
        <v>41</v>
      </c>
      <c r="B44" s="21">
        <f>'weekly hours'!B44</f>
        <v>46034</v>
      </c>
      <c r="C44" s="21">
        <f>'weekly hours'!C44</f>
        <v>46040</v>
      </c>
      <c r="D44" s="2" t="str">
        <f>IF('weekly hours'!D44=0," ",'weekly hours'!D44/8*'weekly hours'!D$2)</f>
        <v xml:space="preserve"> </v>
      </c>
      <c r="E44" s="2" t="str">
        <f>IF('weekly hours'!E44=0," ",'weekly hours'!E44/8*'weekly hours'!E$2)</f>
        <v xml:space="preserve"> </v>
      </c>
      <c r="F44" s="2" t="str">
        <f>IF('weekly hours'!F44=0," ",'weekly hours'!F44/8*'weekly hours'!F$2)</f>
        <v xml:space="preserve"> </v>
      </c>
      <c r="G44" s="2" t="str">
        <f>IF('weekly hours'!G44=0," ",'weekly hours'!G44/8*'weekly hours'!G$2)</f>
        <v xml:space="preserve"> </v>
      </c>
      <c r="H44" s="2" t="str">
        <f>IF('weekly hours'!H44=0," ",'weekly hours'!H44/8*'weekly hours'!H$2)</f>
        <v xml:space="preserve"> </v>
      </c>
      <c r="I44" s="2" t="str">
        <f>IF('weekly hours'!I44=0," ",'weekly hours'!I44/8*'weekly hours'!I$2)</f>
        <v xml:space="preserve"> </v>
      </c>
      <c r="J44" s="2" t="str">
        <f>IF('weekly hours'!J44=0," ",'weekly hours'!J44/8*'weekly hours'!J$2)</f>
        <v xml:space="preserve"> </v>
      </c>
      <c r="K44" s="2" t="str">
        <f>IF('weekly hours'!K44=0," ",'weekly hours'!K44/8*'weekly hours'!K$2)</f>
        <v xml:space="preserve"> </v>
      </c>
      <c r="L44" s="2">
        <f>IF('weekly hours'!L44=0," ",'weekly hours'!L44/8*'weekly hours'!L$2)</f>
        <v>3355</v>
      </c>
      <c r="M44" s="2" t="str">
        <f>IF('weekly hours'!M44=0," ",'weekly hours'!M44/8*'weekly hours'!M$2)</f>
        <v xml:space="preserve"> </v>
      </c>
      <c r="N44" s="2" t="str">
        <f>IF('weekly hours'!N44=0," ",'weekly hours'!N44/8*'weekly hours'!N$2)</f>
        <v xml:space="preserve"> </v>
      </c>
      <c r="O44" s="2" t="str">
        <f>IF('weekly hours'!O44=0," ",'weekly hours'!O44/8*'weekly hours'!O$2)</f>
        <v xml:space="preserve"> </v>
      </c>
      <c r="P44" s="2">
        <f>IF('weekly hours'!P44=0," ",'weekly hours'!P44/8*'weekly hours'!P$2)</f>
        <v>2680</v>
      </c>
      <c r="Q44" s="2">
        <f>IF('weekly hours'!Q44=0," ",'weekly hours'!Q44/8*'weekly hours'!Q$2)</f>
        <v>2280</v>
      </c>
      <c r="R44" s="2" t="str">
        <f>IF('weekly hours'!R44=0," ",'weekly hours'!R44/8*'weekly hours'!R$2)</f>
        <v xml:space="preserve"> </v>
      </c>
      <c r="S44" s="2" t="str">
        <f>IF('weekly hours'!S44=0," ",'weekly hours'!S44/8*'weekly hours'!S$2)</f>
        <v xml:space="preserve"> </v>
      </c>
      <c r="T44" s="2">
        <f>IF('weekly hours'!T44=0," ",'weekly hours'!T44/8*'weekly hours'!T$2)</f>
        <v>1608</v>
      </c>
      <c r="U44" s="2">
        <f>IF('weekly hours'!U44=0," ",'weekly hours'!U44/8*'weekly hours'!U$2)</f>
        <v>1407</v>
      </c>
      <c r="V44" s="2" t="str">
        <f>IF('weekly hours'!V44=0," ",'weekly hours'!V44/8*'weekly hours'!V$2)</f>
        <v xml:space="preserve"> </v>
      </c>
      <c r="W44" s="2"/>
    </row>
    <row r="45" spans="1:23" ht="14.25" customHeight="1" x14ac:dyDescent="0.55000000000000004">
      <c r="A45" s="1">
        <f>'weekly hours'!A45</f>
        <v>42</v>
      </c>
      <c r="B45" s="21">
        <f>'weekly hours'!B45</f>
        <v>46041</v>
      </c>
      <c r="C45" s="21">
        <f>'weekly hours'!C45</f>
        <v>46047</v>
      </c>
      <c r="D45" s="2" t="str">
        <f>IF('weekly hours'!D45=0," ",'weekly hours'!D45/8*'weekly hours'!D$2)</f>
        <v xml:space="preserve"> </v>
      </c>
      <c r="E45" s="2" t="str">
        <f>IF('weekly hours'!E45=0," ",'weekly hours'!E45/8*'weekly hours'!E$2)</f>
        <v xml:space="preserve"> </v>
      </c>
      <c r="F45" s="2" t="str">
        <f>IF('weekly hours'!F45=0," ",'weekly hours'!F45/8*'weekly hours'!F$2)</f>
        <v xml:space="preserve"> </v>
      </c>
      <c r="G45" s="2" t="str">
        <f>IF('weekly hours'!G45=0," ",'weekly hours'!G45/8*'weekly hours'!G$2)</f>
        <v xml:space="preserve"> </v>
      </c>
      <c r="H45" s="2" t="str">
        <f>IF('weekly hours'!H45=0," ",'weekly hours'!H45/8*'weekly hours'!H$2)</f>
        <v xml:space="preserve"> </v>
      </c>
      <c r="I45" s="2" t="str">
        <f>IF('weekly hours'!I45=0," ",'weekly hours'!I45/8*'weekly hours'!I$2)</f>
        <v xml:space="preserve"> </v>
      </c>
      <c r="J45" s="2" t="str">
        <f>IF('weekly hours'!J45=0," ",'weekly hours'!J45/8*'weekly hours'!J$2)</f>
        <v xml:space="preserve"> </v>
      </c>
      <c r="K45" s="2" t="str">
        <f>IF('weekly hours'!K45=0," ",'weekly hours'!K45/8*'weekly hours'!K$2)</f>
        <v xml:space="preserve"> </v>
      </c>
      <c r="L45" s="2">
        <f>IF('weekly hours'!L45=0," ",'weekly hours'!L45/8*'weekly hours'!L$2)</f>
        <v>3355</v>
      </c>
      <c r="M45" s="2" t="str">
        <f>IF('weekly hours'!M45=0," ",'weekly hours'!M45/8*'weekly hours'!M$2)</f>
        <v xml:space="preserve"> </v>
      </c>
      <c r="N45" s="2" t="str">
        <f>IF('weekly hours'!N45=0," ",'weekly hours'!N45/8*'weekly hours'!N$2)</f>
        <v xml:space="preserve"> </v>
      </c>
      <c r="O45" s="2" t="str">
        <f>IF('weekly hours'!O45=0," ",'weekly hours'!O45/8*'weekly hours'!O$2)</f>
        <v xml:space="preserve"> </v>
      </c>
      <c r="P45" s="2">
        <f>IF('weekly hours'!P45=0," ",'weekly hours'!P45/8*'weekly hours'!P$2)</f>
        <v>2680</v>
      </c>
      <c r="Q45" s="2">
        <f>IF('weekly hours'!Q45=0," ",'weekly hours'!Q45/8*'weekly hours'!Q$2)</f>
        <v>2280</v>
      </c>
      <c r="R45" s="2" t="str">
        <f>IF('weekly hours'!R45=0," ",'weekly hours'!R45/8*'weekly hours'!R$2)</f>
        <v xml:space="preserve"> </v>
      </c>
      <c r="S45" s="2" t="str">
        <f>IF('weekly hours'!S45=0," ",'weekly hours'!S45/8*'weekly hours'!S$2)</f>
        <v xml:space="preserve"> </v>
      </c>
      <c r="T45" s="2">
        <f>IF('weekly hours'!T45=0," ",'weekly hours'!T45/8*'weekly hours'!T$2)</f>
        <v>2680</v>
      </c>
      <c r="U45" s="2" t="str">
        <f>IF('weekly hours'!U45=0," ",'weekly hours'!U45/8*'weekly hours'!U$2)</f>
        <v xml:space="preserve"> </v>
      </c>
      <c r="V45" s="2" t="str">
        <f>IF('weekly hours'!V45=0," ",'weekly hours'!V45/8*'weekly hours'!V$2)</f>
        <v xml:space="preserve"> </v>
      </c>
      <c r="W45" s="2"/>
    </row>
    <row r="46" spans="1:23" ht="14.25" customHeight="1" x14ac:dyDescent="0.55000000000000004">
      <c r="A46" s="1">
        <f>'weekly hours'!A46</f>
        <v>43</v>
      </c>
      <c r="B46" s="21">
        <f>'weekly hours'!B46</f>
        <v>46048</v>
      </c>
      <c r="C46" s="21">
        <f>'weekly hours'!C46</f>
        <v>46054</v>
      </c>
      <c r="D46" s="2" t="str">
        <f>IF('weekly hours'!D46=0," ",'weekly hours'!D46/8*'weekly hours'!D$2)</f>
        <v xml:space="preserve"> </v>
      </c>
      <c r="E46" s="2" t="str">
        <f>IF('weekly hours'!E46=0," ",'weekly hours'!E46/8*'weekly hours'!E$2)</f>
        <v xml:space="preserve"> </v>
      </c>
      <c r="F46" s="2" t="str">
        <f>IF('weekly hours'!F46=0," ",'weekly hours'!F46/8*'weekly hours'!F$2)</f>
        <v xml:space="preserve"> </v>
      </c>
      <c r="G46" s="2" t="str">
        <f>IF('weekly hours'!G46=0," ",'weekly hours'!G46/8*'weekly hours'!G$2)</f>
        <v xml:space="preserve"> </v>
      </c>
      <c r="H46" s="2">
        <f>IF('weekly hours'!H46=0," ",'weekly hours'!H46/8*'weekly hours'!H$2)</f>
        <v>268</v>
      </c>
      <c r="I46" s="2">
        <f>IF('weekly hours'!I46=0," ",'weekly hours'!I46/8*'weekly hours'!I$2)</f>
        <v>67</v>
      </c>
      <c r="J46" s="2" t="str">
        <f>IF('weekly hours'!J46=0," ",'weekly hours'!J46/8*'weekly hours'!J$2)</f>
        <v xml:space="preserve"> </v>
      </c>
      <c r="K46" s="2" t="str">
        <f>IF('weekly hours'!K46=0," ",'weekly hours'!K46/8*'weekly hours'!K$2)</f>
        <v xml:space="preserve"> </v>
      </c>
      <c r="L46" s="2">
        <f>IF('weekly hours'!L46=0," ",'weekly hours'!L46/8*'weekly hours'!L$2)</f>
        <v>3355</v>
      </c>
      <c r="M46" s="2" t="str">
        <f>IF('weekly hours'!M46=0," ",'weekly hours'!M46/8*'weekly hours'!M$2)</f>
        <v xml:space="preserve"> </v>
      </c>
      <c r="N46" s="2" t="str">
        <f>IF('weekly hours'!N46=0," ",'weekly hours'!N46/8*'weekly hours'!N$2)</f>
        <v xml:space="preserve"> </v>
      </c>
      <c r="O46" s="2" t="str">
        <f>IF('weekly hours'!O46=0," ",'weekly hours'!O46/8*'weekly hours'!O$2)</f>
        <v xml:space="preserve"> </v>
      </c>
      <c r="P46" s="2">
        <f>IF('weekly hours'!P46=0," ",'weekly hours'!P46/8*'weekly hours'!P$2)</f>
        <v>2680</v>
      </c>
      <c r="Q46" s="2">
        <f>IF('weekly hours'!Q46=0," ",'weekly hours'!Q46/8*'weekly hours'!Q$2)</f>
        <v>2280</v>
      </c>
      <c r="R46" s="2" t="str">
        <f>IF('weekly hours'!R46=0," ",'weekly hours'!R46/8*'weekly hours'!R$2)</f>
        <v xml:space="preserve"> </v>
      </c>
      <c r="S46" s="2" t="str">
        <f>IF('weekly hours'!S46=0," ",'weekly hours'!S46/8*'weekly hours'!S$2)</f>
        <v xml:space="preserve"> </v>
      </c>
      <c r="T46" s="2">
        <f>IF('weekly hours'!T46=0," ",'weekly hours'!T46/8*'weekly hours'!T$2)</f>
        <v>2680</v>
      </c>
      <c r="U46" s="2" t="str">
        <f>IF('weekly hours'!U46=0," ",'weekly hours'!U46/8*'weekly hours'!U$2)</f>
        <v xml:space="preserve"> </v>
      </c>
      <c r="V46" s="2" t="str">
        <f>IF('weekly hours'!V46=0," ",'weekly hours'!V46/8*'weekly hours'!V$2)</f>
        <v xml:space="preserve"> </v>
      </c>
      <c r="W46" s="2"/>
    </row>
    <row r="47" spans="1:23" ht="14.25" customHeight="1" x14ac:dyDescent="0.55000000000000004">
      <c r="A47" s="1">
        <f>'weekly hours'!A47</f>
        <v>44</v>
      </c>
      <c r="B47" s="21">
        <f>'weekly hours'!B47</f>
        <v>46055</v>
      </c>
      <c r="C47" s="21">
        <f>'weekly hours'!C47</f>
        <v>46061</v>
      </c>
      <c r="D47" s="2" t="str">
        <f>IF('weekly hours'!D47=0," ",'weekly hours'!D47/8*'weekly hours'!D$2)</f>
        <v xml:space="preserve"> </v>
      </c>
      <c r="E47" s="2" t="str">
        <f>IF('weekly hours'!E47=0," ",'weekly hours'!E47/8*'weekly hours'!E$2)</f>
        <v xml:space="preserve"> </v>
      </c>
      <c r="F47" s="2" t="str">
        <f>IF('weekly hours'!F47=0," ",'weekly hours'!F47/8*'weekly hours'!F$2)</f>
        <v xml:space="preserve"> </v>
      </c>
      <c r="G47" s="2" t="str">
        <f>IF('weekly hours'!G47=0," ",'weekly hours'!G47/8*'weekly hours'!G$2)</f>
        <v xml:space="preserve"> </v>
      </c>
      <c r="H47" s="2" t="str">
        <f>IF('weekly hours'!H47=0," ",'weekly hours'!H47/8*'weekly hours'!H$2)</f>
        <v xml:space="preserve"> </v>
      </c>
      <c r="I47" s="2" t="str">
        <f>IF('weekly hours'!I47=0," ",'weekly hours'!I47/8*'weekly hours'!I$2)</f>
        <v xml:space="preserve"> </v>
      </c>
      <c r="J47" s="2" t="str">
        <f>IF('weekly hours'!J47=0," ",'weekly hours'!J47/8*'weekly hours'!J$2)</f>
        <v xml:space="preserve"> </v>
      </c>
      <c r="K47" s="2" t="str">
        <f>IF('weekly hours'!K47=0," ",'weekly hours'!K47/8*'weekly hours'!K$2)</f>
        <v xml:space="preserve"> </v>
      </c>
      <c r="L47" s="2" t="str">
        <f>IF('weekly hours'!L47=0," ",'weekly hours'!L47/8*'weekly hours'!L$2)</f>
        <v xml:space="preserve"> </v>
      </c>
      <c r="M47" s="2" t="str">
        <f>IF('weekly hours'!M47=0," ",'weekly hours'!M47/8*'weekly hours'!M$2)</f>
        <v xml:space="preserve"> </v>
      </c>
      <c r="N47" s="2" t="str">
        <f>IF('weekly hours'!N47=0," ",'weekly hours'!N47/8*'weekly hours'!N$2)</f>
        <v xml:space="preserve"> </v>
      </c>
      <c r="O47" s="2" t="str">
        <f>IF('weekly hours'!O47=0," ",'weekly hours'!O47/8*'weekly hours'!O$2)</f>
        <v xml:space="preserve"> </v>
      </c>
      <c r="P47" s="2">
        <f>IF('weekly hours'!P47=0," ",'weekly hours'!P47/8*'weekly hours'!P$2)</f>
        <v>2680</v>
      </c>
      <c r="Q47" s="2">
        <f>IF('weekly hours'!Q47=0," ",'weekly hours'!Q47/8*'weekly hours'!Q$2)</f>
        <v>2280</v>
      </c>
      <c r="R47" s="2" t="str">
        <f>IF('weekly hours'!R47=0," ",'weekly hours'!R47/8*'weekly hours'!R$2)</f>
        <v xml:space="preserve"> </v>
      </c>
      <c r="S47" s="2" t="str">
        <f>IF('weekly hours'!S47=0," ",'weekly hours'!S47/8*'weekly hours'!S$2)</f>
        <v xml:space="preserve"> </v>
      </c>
      <c r="T47" s="2" t="str">
        <f>IF('weekly hours'!T47=0," ",'weekly hours'!T47/8*'weekly hours'!T$2)</f>
        <v xml:space="preserve"> </v>
      </c>
      <c r="U47" s="2">
        <f>IF('weekly hours'!U47=0," ",'weekly hours'!U47/8*'weekly hours'!U$2)</f>
        <v>1407</v>
      </c>
      <c r="V47" s="2" t="str">
        <f>IF('weekly hours'!V47=0," ",'weekly hours'!V47/8*'weekly hours'!V$2)</f>
        <v xml:space="preserve"> </v>
      </c>
      <c r="W47" s="2"/>
    </row>
    <row r="48" spans="1:23" ht="14.25" customHeight="1" x14ac:dyDescent="0.55000000000000004">
      <c r="A48" s="1">
        <f>'weekly hours'!A48</f>
        <v>45</v>
      </c>
      <c r="B48" s="21">
        <f>'weekly hours'!B48</f>
        <v>46062</v>
      </c>
      <c r="C48" s="21">
        <f>'weekly hours'!C48</f>
        <v>46068</v>
      </c>
      <c r="D48" s="2" t="str">
        <f>IF('weekly hours'!D48=0," ",'weekly hours'!D48/8*'weekly hours'!D$2)</f>
        <v xml:space="preserve"> </v>
      </c>
      <c r="E48" s="2" t="str">
        <f>IF('weekly hours'!E48=0," ",'weekly hours'!E48/8*'weekly hours'!E$2)</f>
        <v xml:space="preserve"> </v>
      </c>
      <c r="F48" s="2" t="str">
        <f>IF('weekly hours'!F48=0," ",'weekly hours'!F48/8*'weekly hours'!F$2)</f>
        <v xml:space="preserve"> </v>
      </c>
      <c r="G48" s="2">
        <f>IF('weekly hours'!G48=0," ",'weekly hours'!G48/8*'weekly hours'!G$2)</f>
        <v>167.75</v>
      </c>
      <c r="H48" s="2" t="str">
        <f>IF('weekly hours'!H48=0," ",'weekly hours'!H48/8*'weekly hours'!H$2)</f>
        <v xml:space="preserve"> </v>
      </c>
      <c r="I48" s="2">
        <f>IF('weekly hours'!I48=0," ",'weekly hours'!I48/8*'weekly hours'!I$2)</f>
        <v>201</v>
      </c>
      <c r="J48" s="2" t="str">
        <f>IF('weekly hours'!J48=0," ",'weekly hours'!J48/8*'weekly hours'!J$2)</f>
        <v xml:space="preserve"> </v>
      </c>
      <c r="K48" s="2" t="str">
        <f>IF('weekly hours'!K48=0," ",'weekly hours'!K48/8*'weekly hours'!K$2)</f>
        <v xml:space="preserve"> </v>
      </c>
      <c r="L48" s="2" t="str">
        <f>IF('weekly hours'!L48=0," ",'weekly hours'!L48/8*'weekly hours'!L$2)</f>
        <v xml:space="preserve"> </v>
      </c>
      <c r="M48" s="2" t="str">
        <f>IF('weekly hours'!M48=0," ",'weekly hours'!M48/8*'weekly hours'!M$2)</f>
        <v xml:space="preserve"> </v>
      </c>
      <c r="N48" s="2" t="str">
        <f>IF('weekly hours'!N48=0," ",'weekly hours'!N48/8*'weekly hours'!N$2)</f>
        <v xml:space="preserve"> </v>
      </c>
      <c r="O48" s="2" t="str">
        <f>IF('weekly hours'!O48=0," ",'weekly hours'!O48/8*'weekly hours'!O$2)</f>
        <v xml:space="preserve"> </v>
      </c>
      <c r="P48" s="2">
        <f>IF('weekly hours'!P48=0," ",'weekly hours'!P48/8*'weekly hours'!P$2)</f>
        <v>1608</v>
      </c>
      <c r="Q48" s="2">
        <f>IF('weekly hours'!Q48=0," ",'weekly hours'!Q48/8*'weekly hours'!Q$2)</f>
        <v>1368</v>
      </c>
      <c r="R48" s="2" t="str">
        <f>IF('weekly hours'!R48=0," ",'weekly hours'!R48/8*'weekly hours'!R$2)</f>
        <v xml:space="preserve"> </v>
      </c>
      <c r="S48" s="2" t="str">
        <f>IF('weekly hours'!S48=0," ",'weekly hours'!S48/8*'weekly hours'!S$2)</f>
        <v xml:space="preserve"> </v>
      </c>
      <c r="T48" s="2" t="str">
        <f>IF('weekly hours'!T48=0," ",'weekly hours'!T48/8*'weekly hours'!T$2)</f>
        <v xml:space="preserve"> </v>
      </c>
      <c r="U48" s="2">
        <f>IF('weekly hours'!U48=0," ",'weekly hours'!U48/8*'weekly hours'!U$2)</f>
        <v>2345</v>
      </c>
      <c r="V48" s="2" t="str">
        <f>IF('weekly hours'!V48=0," ",'weekly hours'!V48/8*'weekly hours'!V$2)</f>
        <v xml:space="preserve"> </v>
      </c>
      <c r="W48" s="2"/>
    </row>
    <row r="49" spans="1:23" ht="14.25" customHeight="1" x14ac:dyDescent="0.55000000000000004">
      <c r="A49" s="1">
        <f>'weekly hours'!A49</f>
        <v>46</v>
      </c>
      <c r="B49" s="21">
        <f>'weekly hours'!B49</f>
        <v>46069</v>
      </c>
      <c r="C49" s="21">
        <f>'weekly hours'!C49</f>
        <v>46075</v>
      </c>
      <c r="D49" s="2" t="str">
        <f>IF('weekly hours'!D49=0," ",'weekly hours'!D49/8*'weekly hours'!D$2)</f>
        <v xml:space="preserve"> </v>
      </c>
      <c r="E49" s="2" t="str">
        <f>IF('weekly hours'!E49=0," ",'weekly hours'!E49/8*'weekly hours'!E$2)</f>
        <v xml:space="preserve"> </v>
      </c>
      <c r="F49" s="2">
        <f>IF('weekly hours'!F49=0," ",'weekly hours'!F49/8*'weekly hours'!F$2)</f>
        <v>419.375</v>
      </c>
      <c r="G49" s="2">
        <f>IF('weekly hours'!G49=0," ",'weekly hours'!G49/8*'weekly hours'!G$2)</f>
        <v>167.75</v>
      </c>
      <c r="H49" s="2" t="str">
        <f>IF('weekly hours'!H49=0," ",'weekly hours'!H49/8*'weekly hours'!H$2)</f>
        <v xml:space="preserve"> </v>
      </c>
      <c r="I49" s="2">
        <f>IF('weekly hours'!I49=0," ",'weekly hours'!I49/8*'weekly hours'!I$2)</f>
        <v>268</v>
      </c>
      <c r="J49" s="2" t="str">
        <f>IF('weekly hours'!J49=0," ",'weekly hours'!J49/8*'weekly hours'!J$2)</f>
        <v xml:space="preserve"> </v>
      </c>
      <c r="K49" s="2" t="str">
        <f>IF('weekly hours'!K49=0," ",'weekly hours'!K49/8*'weekly hours'!K$2)</f>
        <v xml:space="preserve"> </v>
      </c>
      <c r="L49" s="2" t="str">
        <f>IF('weekly hours'!L49=0," ",'weekly hours'!L49/8*'weekly hours'!L$2)</f>
        <v xml:space="preserve"> </v>
      </c>
      <c r="M49" s="2" t="str">
        <f>IF('weekly hours'!M49=0," ",'weekly hours'!M49/8*'weekly hours'!M$2)</f>
        <v xml:space="preserve"> </v>
      </c>
      <c r="N49" s="2" t="str">
        <f>IF('weekly hours'!N49=0," ",'weekly hours'!N49/8*'weekly hours'!N$2)</f>
        <v xml:space="preserve"> </v>
      </c>
      <c r="O49" s="2" t="str">
        <f>IF('weekly hours'!O49=0," ",'weekly hours'!O49/8*'weekly hours'!O$2)</f>
        <v xml:space="preserve"> </v>
      </c>
      <c r="P49" s="2" t="str">
        <f>IF('weekly hours'!P49=0," ",'weekly hours'!P49/8*'weekly hours'!P$2)</f>
        <v xml:space="preserve"> </v>
      </c>
      <c r="Q49" s="2" t="str">
        <f>IF('weekly hours'!Q49=0," ",'weekly hours'!Q49/8*'weekly hours'!Q$2)</f>
        <v xml:space="preserve"> </v>
      </c>
      <c r="R49" s="2" t="str">
        <f>IF('weekly hours'!R49=0," ",'weekly hours'!R49/8*'weekly hours'!R$2)</f>
        <v xml:space="preserve"> </v>
      </c>
      <c r="S49" s="2" t="str">
        <f>IF('weekly hours'!S49=0," ",'weekly hours'!S49/8*'weekly hours'!S$2)</f>
        <v xml:space="preserve"> </v>
      </c>
      <c r="T49" s="2" t="str">
        <f>IF('weekly hours'!T49=0," ",'weekly hours'!T49/8*'weekly hours'!T$2)</f>
        <v xml:space="preserve"> </v>
      </c>
      <c r="U49" s="2">
        <f>IF('weekly hours'!U49=0," ",'weekly hours'!U49/8*'weekly hours'!U$2)</f>
        <v>2345</v>
      </c>
      <c r="V49" s="2" t="str">
        <f>IF('weekly hours'!V49=0," ",'weekly hours'!V49/8*'weekly hours'!V$2)</f>
        <v xml:space="preserve"> </v>
      </c>
      <c r="W49" s="2"/>
    </row>
    <row r="50" spans="1:23" ht="14.25" customHeight="1" x14ac:dyDescent="0.55000000000000004">
      <c r="A50" s="1">
        <f>'weekly hours'!A50</f>
        <v>47</v>
      </c>
      <c r="B50" s="21">
        <f>'weekly hours'!B50</f>
        <v>46076</v>
      </c>
      <c r="C50" s="21">
        <f>'weekly hours'!C50</f>
        <v>46082</v>
      </c>
      <c r="D50" s="2" t="str">
        <f>IF('weekly hours'!D50=0," ",'weekly hours'!D50/8*'weekly hours'!D$2)</f>
        <v xml:space="preserve"> </v>
      </c>
      <c r="E50" s="2" t="str">
        <f>IF('weekly hours'!E50=0," ",'weekly hours'!E50/8*'weekly hours'!E$2)</f>
        <v xml:space="preserve"> </v>
      </c>
      <c r="F50" s="2">
        <f>IF('weekly hours'!F50=0," ",'weekly hours'!F50/8*'weekly hours'!F$2)</f>
        <v>838.75</v>
      </c>
      <c r="G50" s="2">
        <f>IF('weekly hours'!G50=0," ",'weekly hours'!G50/8*'weekly hours'!G$2)</f>
        <v>83.875</v>
      </c>
      <c r="H50" s="2" t="str">
        <f>IF('weekly hours'!H50=0," ",'weekly hours'!H50/8*'weekly hours'!H$2)</f>
        <v xml:space="preserve"> </v>
      </c>
      <c r="I50" s="2" t="str">
        <f>IF('weekly hours'!I50=0," ",'weekly hours'!I50/8*'weekly hours'!I$2)</f>
        <v xml:space="preserve"> </v>
      </c>
      <c r="J50" s="2" t="str">
        <f>IF('weekly hours'!J50=0," ",'weekly hours'!J50/8*'weekly hours'!J$2)</f>
        <v xml:space="preserve"> </v>
      </c>
      <c r="K50" s="2" t="str">
        <f>IF('weekly hours'!K50=0," ",'weekly hours'!K50/8*'weekly hours'!K$2)</f>
        <v xml:space="preserve"> </v>
      </c>
      <c r="L50" s="2" t="str">
        <f>IF('weekly hours'!L50=0," ",'weekly hours'!L50/8*'weekly hours'!L$2)</f>
        <v xml:space="preserve"> </v>
      </c>
      <c r="M50" s="2" t="str">
        <f>IF('weekly hours'!M50=0," ",'weekly hours'!M50/8*'weekly hours'!M$2)</f>
        <v xml:space="preserve"> </v>
      </c>
      <c r="N50" s="2" t="str">
        <f>IF('weekly hours'!N50=0," ",'weekly hours'!N50/8*'weekly hours'!N$2)</f>
        <v xml:space="preserve"> </v>
      </c>
      <c r="O50" s="2" t="str">
        <f>IF('weekly hours'!O50=0," ",'weekly hours'!O50/8*'weekly hours'!O$2)</f>
        <v xml:space="preserve"> </v>
      </c>
      <c r="P50" s="2" t="str">
        <f>IF('weekly hours'!P50=0," ",'weekly hours'!P50/8*'weekly hours'!P$2)</f>
        <v xml:space="preserve"> </v>
      </c>
      <c r="Q50" s="2" t="str">
        <f>IF('weekly hours'!Q50=0," ",'weekly hours'!Q50/8*'weekly hours'!Q$2)</f>
        <v xml:space="preserve"> </v>
      </c>
      <c r="R50" s="2" t="str">
        <f>IF('weekly hours'!R50=0," ",'weekly hours'!R50/8*'weekly hours'!R$2)</f>
        <v xml:space="preserve"> </v>
      </c>
      <c r="S50" s="2" t="str">
        <f>IF('weekly hours'!S50=0," ",'weekly hours'!S50/8*'weekly hours'!S$2)</f>
        <v xml:space="preserve"> </v>
      </c>
      <c r="T50" s="2" t="str">
        <f>IF('weekly hours'!T50=0," ",'weekly hours'!T50/8*'weekly hours'!T$2)</f>
        <v xml:space="preserve"> </v>
      </c>
      <c r="U50" s="2" t="str">
        <f>IF('weekly hours'!U50=0," ",'weekly hours'!U50/8*'weekly hours'!U$2)</f>
        <v xml:space="preserve"> </v>
      </c>
      <c r="V50" s="2" t="str">
        <f>IF('weekly hours'!V50=0," ",'weekly hours'!V50/8*'weekly hours'!V$2)</f>
        <v xml:space="preserve"> </v>
      </c>
      <c r="W50" s="2"/>
    </row>
    <row r="51" spans="1:23" ht="14.25" customHeight="1" x14ac:dyDescent="0.55000000000000004">
      <c r="A51" s="1">
        <f>'weekly hours'!A51</f>
        <v>48</v>
      </c>
      <c r="B51" s="21">
        <f>'weekly hours'!B51</f>
        <v>46083</v>
      </c>
      <c r="C51" s="21">
        <f>'weekly hours'!C51</f>
        <v>46089</v>
      </c>
      <c r="D51" s="2" t="str">
        <f>IF('weekly hours'!D51=0," ",'weekly hours'!D51/8*'weekly hours'!D$2)</f>
        <v xml:space="preserve"> </v>
      </c>
      <c r="E51" s="2" t="str">
        <f>IF('weekly hours'!E51=0," ",'weekly hours'!E51/8*'weekly hours'!E$2)</f>
        <v xml:space="preserve"> </v>
      </c>
      <c r="F51" s="2">
        <f>IF('weekly hours'!F51=0," ",'weekly hours'!F51/8*'weekly hours'!F$2)</f>
        <v>1258.125</v>
      </c>
      <c r="G51" s="2" t="str">
        <f>IF('weekly hours'!G51=0," ",'weekly hours'!G51/8*'weekly hours'!G$2)</f>
        <v xml:space="preserve"> </v>
      </c>
      <c r="H51" s="2" t="str">
        <f>IF('weekly hours'!H51=0," ",'weekly hours'!H51/8*'weekly hours'!H$2)</f>
        <v xml:space="preserve"> </v>
      </c>
      <c r="I51" s="2" t="str">
        <f>IF('weekly hours'!I51=0," ",'weekly hours'!I51/8*'weekly hours'!I$2)</f>
        <v xml:space="preserve"> </v>
      </c>
      <c r="J51" s="2" t="str">
        <f>IF('weekly hours'!J51=0," ",'weekly hours'!J51/8*'weekly hours'!J$2)</f>
        <v xml:space="preserve"> </v>
      </c>
      <c r="K51" s="2" t="str">
        <f>IF('weekly hours'!K51=0," ",'weekly hours'!K51/8*'weekly hours'!K$2)</f>
        <v xml:space="preserve"> </v>
      </c>
      <c r="L51" s="2" t="str">
        <f>IF('weekly hours'!L51=0," ",'weekly hours'!L51/8*'weekly hours'!L$2)</f>
        <v xml:space="preserve"> </v>
      </c>
      <c r="M51" s="2" t="str">
        <f>IF('weekly hours'!M51=0," ",'weekly hours'!M51/8*'weekly hours'!M$2)</f>
        <v xml:space="preserve"> </v>
      </c>
      <c r="N51" s="2" t="str">
        <f>IF('weekly hours'!N51=0," ",'weekly hours'!N51/8*'weekly hours'!N$2)</f>
        <v xml:space="preserve"> </v>
      </c>
      <c r="O51" s="2" t="str">
        <f>IF('weekly hours'!O51=0," ",'weekly hours'!O51/8*'weekly hours'!O$2)</f>
        <v xml:space="preserve"> </v>
      </c>
      <c r="P51" s="2" t="str">
        <f>IF('weekly hours'!P51=0," ",'weekly hours'!P51/8*'weekly hours'!P$2)</f>
        <v xml:space="preserve"> </v>
      </c>
      <c r="Q51" s="2">
        <f>IF('weekly hours'!Q51=0," ",'weekly hours'!Q51/8*'weekly hours'!Q$2)</f>
        <v>912</v>
      </c>
      <c r="R51" s="2" t="str">
        <f>IF('weekly hours'!R51=0," ",'weekly hours'!R51/8*'weekly hours'!R$2)</f>
        <v xml:space="preserve"> </v>
      </c>
      <c r="S51" s="2" t="str">
        <f>IF('weekly hours'!S51=0," ",'weekly hours'!S51/8*'weekly hours'!S$2)</f>
        <v xml:space="preserve"> </v>
      </c>
      <c r="T51" s="2" t="str">
        <f>IF('weekly hours'!T51=0," ",'weekly hours'!T51/8*'weekly hours'!T$2)</f>
        <v xml:space="preserve"> </v>
      </c>
      <c r="U51" s="2" t="str">
        <f>IF('weekly hours'!U51=0," ",'weekly hours'!U51/8*'weekly hours'!U$2)</f>
        <v xml:space="preserve"> </v>
      </c>
      <c r="V51" s="2" t="str">
        <f>IF('weekly hours'!V51=0," ",'weekly hours'!V51/8*'weekly hours'!V$2)</f>
        <v xml:space="preserve"> </v>
      </c>
      <c r="W51" s="2"/>
    </row>
    <row r="52" spans="1:23" ht="14.25" customHeight="1" x14ac:dyDescent="0.55000000000000004">
      <c r="A52" s="1">
        <f>'weekly hours'!A52</f>
        <v>49</v>
      </c>
      <c r="B52" s="21">
        <f>'weekly hours'!B52</f>
        <v>46090</v>
      </c>
      <c r="C52" s="21">
        <f>'weekly hours'!C52</f>
        <v>46096</v>
      </c>
      <c r="D52" s="2" t="str">
        <f>IF('weekly hours'!D52=0," ",'weekly hours'!D52/8*'weekly hours'!D$2)</f>
        <v xml:space="preserve"> </v>
      </c>
      <c r="E52" s="2" t="str">
        <f>IF('weekly hours'!E52=0," ",'weekly hours'!E52/8*'weekly hours'!E$2)</f>
        <v xml:space="preserve"> </v>
      </c>
      <c r="F52" s="2">
        <f>IF('weekly hours'!F52=0," ",'weekly hours'!F52/8*'weekly hours'!F$2)</f>
        <v>838.75</v>
      </c>
      <c r="G52" s="2" t="str">
        <f>IF('weekly hours'!G52=0," ",'weekly hours'!G52/8*'weekly hours'!G$2)</f>
        <v xml:space="preserve"> </v>
      </c>
      <c r="H52" s="2" t="str">
        <f>IF('weekly hours'!H52=0," ",'weekly hours'!H52/8*'weekly hours'!H$2)</f>
        <v xml:space="preserve"> </v>
      </c>
      <c r="I52" s="2" t="str">
        <f>IF('weekly hours'!I52=0," ",'weekly hours'!I52/8*'weekly hours'!I$2)</f>
        <v xml:space="preserve"> </v>
      </c>
      <c r="J52" s="2" t="str">
        <f>IF('weekly hours'!J52=0," ",'weekly hours'!J52/8*'weekly hours'!J$2)</f>
        <v xml:space="preserve"> </v>
      </c>
      <c r="K52" s="2" t="str">
        <f>IF('weekly hours'!K52=0," ",'weekly hours'!K52/8*'weekly hours'!K$2)</f>
        <v xml:space="preserve"> </v>
      </c>
      <c r="L52" s="2" t="str">
        <f>IF('weekly hours'!L52=0," ",'weekly hours'!L52/8*'weekly hours'!L$2)</f>
        <v xml:space="preserve"> </v>
      </c>
      <c r="M52" s="2" t="str">
        <f>IF('weekly hours'!M52=0," ",'weekly hours'!M52/8*'weekly hours'!M$2)</f>
        <v xml:space="preserve"> </v>
      </c>
      <c r="N52" s="2" t="str">
        <f>IF('weekly hours'!N52=0," ",'weekly hours'!N52/8*'weekly hours'!N$2)</f>
        <v xml:space="preserve"> </v>
      </c>
      <c r="O52" s="2" t="str">
        <f>IF('weekly hours'!O52=0," ",'weekly hours'!O52/8*'weekly hours'!O$2)</f>
        <v xml:space="preserve"> </v>
      </c>
      <c r="P52" s="2" t="str">
        <f>IF('weekly hours'!P52=0," ",'weekly hours'!P52/8*'weekly hours'!P$2)</f>
        <v xml:space="preserve"> </v>
      </c>
      <c r="Q52" s="2">
        <f>IF('weekly hours'!Q52=0," ",'weekly hours'!Q52/8*'weekly hours'!Q$2)</f>
        <v>2280</v>
      </c>
      <c r="R52" s="2" t="str">
        <f>IF('weekly hours'!R52=0," ",'weekly hours'!R52/8*'weekly hours'!R$2)</f>
        <v xml:space="preserve"> </v>
      </c>
      <c r="S52" s="2" t="str">
        <f>IF('weekly hours'!S52=0," ",'weekly hours'!S52/8*'weekly hours'!S$2)</f>
        <v xml:space="preserve"> </v>
      </c>
      <c r="T52" s="2" t="str">
        <f>IF('weekly hours'!T52=0," ",'weekly hours'!T52/8*'weekly hours'!T$2)</f>
        <v xml:space="preserve"> </v>
      </c>
      <c r="U52" s="2" t="str">
        <f>IF('weekly hours'!U52=0," ",'weekly hours'!U52/8*'weekly hours'!U$2)</f>
        <v xml:space="preserve"> </v>
      </c>
      <c r="V52" s="2" t="str">
        <f>IF('weekly hours'!V52=0," ",'weekly hours'!V52/8*'weekly hours'!V$2)</f>
        <v xml:space="preserve"> </v>
      </c>
      <c r="W52" s="2"/>
    </row>
    <row r="53" spans="1:23" ht="14.25" customHeight="1" x14ac:dyDescent="0.55000000000000004">
      <c r="A53" s="1">
        <f>'weekly hours'!A53</f>
        <v>50</v>
      </c>
      <c r="B53" s="21">
        <f>'weekly hours'!B53</f>
        <v>46097</v>
      </c>
      <c r="C53" s="21">
        <f>'weekly hours'!C53</f>
        <v>46103</v>
      </c>
      <c r="D53" s="2" t="str">
        <f>IF('weekly hours'!D53=0," ",'weekly hours'!D53/8*'weekly hours'!D$2)</f>
        <v xml:space="preserve"> </v>
      </c>
      <c r="E53" s="2" t="str">
        <f>IF('weekly hours'!E53=0," ",'weekly hours'!E53/8*'weekly hours'!E$2)</f>
        <v xml:space="preserve"> </v>
      </c>
      <c r="F53" s="2">
        <f>IF('weekly hours'!F53=0," ",'weekly hours'!F53/8*'weekly hours'!F$2)</f>
        <v>838.75</v>
      </c>
      <c r="G53" s="2" t="str">
        <f>IF('weekly hours'!G53=0," ",'weekly hours'!G53/8*'weekly hours'!G$2)</f>
        <v xml:space="preserve"> </v>
      </c>
      <c r="H53" s="2" t="str">
        <f>IF('weekly hours'!H53=0," ",'weekly hours'!H53/8*'weekly hours'!H$2)</f>
        <v xml:space="preserve"> </v>
      </c>
      <c r="I53" s="2" t="str">
        <f>IF('weekly hours'!I53=0," ",'weekly hours'!I53/8*'weekly hours'!I$2)</f>
        <v xml:space="preserve"> </v>
      </c>
      <c r="J53" s="2" t="str">
        <f>IF('weekly hours'!J53=0," ",'weekly hours'!J53/8*'weekly hours'!J$2)</f>
        <v xml:space="preserve"> </v>
      </c>
      <c r="K53" s="2" t="str">
        <f>IF('weekly hours'!K53=0," ",'weekly hours'!K53/8*'weekly hours'!K$2)</f>
        <v xml:space="preserve"> </v>
      </c>
      <c r="L53" s="2">
        <f>IF('weekly hours'!L53=0," ",'weekly hours'!L53/8*'weekly hours'!L$2)</f>
        <v>419.375</v>
      </c>
      <c r="M53" s="2" t="str">
        <f>IF('weekly hours'!M53=0," ",'weekly hours'!M53/8*'weekly hours'!M$2)</f>
        <v xml:space="preserve"> </v>
      </c>
      <c r="N53" s="2" t="str">
        <f>IF('weekly hours'!N53=0," ",'weekly hours'!N53/8*'weekly hours'!N$2)</f>
        <v xml:space="preserve"> </v>
      </c>
      <c r="O53" s="2" t="str">
        <f>IF('weekly hours'!O53=0," ",'weekly hours'!O53/8*'weekly hours'!O$2)</f>
        <v xml:space="preserve"> </v>
      </c>
      <c r="P53" s="2" t="str">
        <f>IF('weekly hours'!P53=0," ",'weekly hours'!P53/8*'weekly hours'!P$2)</f>
        <v xml:space="preserve"> </v>
      </c>
      <c r="Q53" s="2">
        <f>IF('weekly hours'!Q53=0," ",'weekly hours'!Q53/8*'weekly hours'!Q$2)</f>
        <v>2280</v>
      </c>
      <c r="R53" s="2" t="str">
        <f>IF('weekly hours'!R53=0," ",'weekly hours'!R53/8*'weekly hours'!R$2)</f>
        <v xml:space="preserve"> </v>
      </c>
      <c r="S53" s="2" t="str">
        <f>IF('weekly hours'!S53=0," ",'weekly hours'!S53/8*'weekly hours'!S$2)</f>
        <v xml:space="preserve"> </v>
      </c>
      <c r="T53" s="2" t="str">
        <f>IF('weekly hours'!T53=0," ",'weekly hours'!T53/8*'weekly hours'!T$2)</f>
        <v xml:space="preserve"> </v>
      </c>
      <c r="U53" s="2" t="str">
        <f>IF('weekly hours'!U53=0," ",'weekly hours'!U53/8*'weekly hours'!U$2)</f>
        <v xml:space="preserve"> </v>
      </c>
      <c r="V53" s="2" t="str">
        <f>IF('weekly hours'!V53=0," ",'weekly hours'!V53/8*'weekly hours'!V$2)</f>
        <v xml:space="preserve"> </v>
      </c>
      <c r="W53" s="2"/>
    </row>
    <row r="54" spans="1:23" ht="14.25" customHeight="1" x14ac:dyDescent="0.55000000000000004">
      <c r="A54" s="1">
        <f>'weekly hours'!A54</f>
        <v>51</v>
      </c>
      <c r="B54" s="21">
        <f>'weekly hours'!B54</f>
        <v>46104</v>
      </c>
      <c r="C54" s="21">
        <f>'weekly hours'!C54</f>
        <v>46110</v>
      </c>
      <c r="D54" s="2" t="str">
        <f>IF('weekly hours'!D54=0," ",'weekly hours'!D54/8*'weekly hours'!D$2)</f>
        <v xml:space="preserve"> </v>
      </c>
      <c r="E54" s="2" t="str">
        <f>IF('weekly hours'!E54=0," ",'weekly hours'!E54/8*'weekly hours'!E$2)</f>
        <v xml:space="preserve"> </v>
      </c>
      <c r="F54" s="2" t="str">
        <f>IF('weekly hours'!F54=0," ",'weekly hours'!F54/8*'weekly hours'!F$2)</f>
        <v xml:space="preserve"> </v>
      </c>
      <c r="G54" s="2" t="str">
        <f>IF('weekly hours'!G54=0," ",'weekly hours'!G54/8*'weekly hours'!G$2)</f>
        <v xml:space="preserve"> </v>
      </c>
      <c r="H54" s="2" t="str">
        <f>IF('weekly hours'!H54=0," ",'weekly hours'!H54/8*'weekly hours'!H$2)</f>
        <v xml:space="preserve"> </v>
      </c>
      <c r="I54" s="2" t="str">
        <f>IF('weekly hours'!I54=0," ",'weekly hours'!I54/8*'weekly hours'!I$2)</f>
        <v xml:space="preserve"> </v>
      </c>
      <c r="J54" s="2" t="str">
        <f>IF('weekly hours'!J54=0," ",'weekly hours'!J54/8*'weekly hours'!J$2)</f>
        <v xml:space="preserve"> </v>
      </c>
      <c r="K54" s="2" t="str">
        <f>IF('weekly hours'!K54=0," ",'weekly hours'!K54/8*'weekly hours'!K$2)</f>
        <v xml:space="preserve"> </v>
      </c>
      <c r="L54" s="2" t="str">
        <f>IF('weekly hours'!L54=0," ",'weekly hours'!L54/8*'weekly hours'!L$2)</f>
        <v xml:space="preserve"> </v>
      </c>
      <c r="M54" s="2" t="str">
        <f>IF('weekly hours'!M54=0," ",'weekly hours'!M54/8*'weekly hours'!M$2)</f>
        <v xml:space="preserve"> </v>
      </c>
      <c r="N54" s="2" t="str">
        <f>IF('weekly hours'!N54=0," ",'weekly hours'!N54/8*'weekly hours'!N$2)</f>
        <v xml:space="preserve"> </v>
      </c>
      <c r="O54" s="2" t="str">
        <f>IF('weekly hours'!O54=0," ",'weekly hours'!O54/8*'weekly hours'!O$2)</f>
        <v xml:space="preserve"> </v>
      </c>
      <c r="P54" s="2" t="str">
        <f>IF('weekly hours'!P54=0," ",'weekly hours'!P54/8*'weekly hours'!P$2)</f>
        <v xml:space="preserve"> </v>
      </c>
      <c r="Q54" s="2" t="str">
        <f>IF('weekly hours'!Q54=0," ",'weekly hours'!Q54/8*'weekly hours'!Q$2)</f>
        <v xml:space="preserve"> </v>
      </c>
      <c r="R54" s="2" t="str">
        <f>IF('weekly hours'!R54=0," ",'weekly hours'!R54/8*'weekly hours'!R$2)</f>
        <v xml:space="preserve"> </v>
      </c>
      <c r="S54" s="2" t="str">
        <f>IF('weekly hours'!S54=0," ",'weekly hours'!S54/8*'weekly hours'!S$2)</f>
        <v xml:space="preserve"> </v>
      </c>
      <c r="T54" s="2" t="str">
        <f>IF('weekly hours'!T54=0," ",'weekly hours'!T54/8*'weekly hours'!T$2)</f>
        <v xml:space="preserve"> </v>
      </c>
      <c r="U54" s="2" t="str">
        <f>IF('weekly hours'!U54=0," ",'weekly hours'!U54/8*'weekly hours'!U$2)</f>
        <v xml:space="preserve"> </v>
      </c>
      <c r="V54" s="2" t="str">
        <f>IF('weekly hours'!V54=0," ",'weekly hours'!V54/8*'weekly hours'!V$2)</f>
        <v xml:space="preserve"> </v>
      </c>
      <c r="W54" s="2"/>
    </row>
    <row r="55" spans="1:23" ht="14.25" customHeight="1" x14ac:dyDescent="0.55000000000000004">
      <c r="A55" s="1">
        <f>'weekly hours'!A55</f>
        <v>52</v>
      </c>
      <c r="B55" s="21">
        <f>'weekly hours'!B55</f>
        <v>46111</v>
      </c>
      <c r="C55" s="21">
        <f>'weekly hours'!C55</f>
        <v>46117</v>
      </c>
      <c r="D55" s="2" t="str">
        <f>IF('weekly hours'!D55=0," ",'weekly hours'!D55/8*'weekly hours'!D$2)</f>
        <v xml:space="preserve"> </v>
      </c>
      <c r="E55" s="2" t="str">
        <f>IF('weekly hours'!E55=0," ",'weekly hours'!E55/8*'weekly hours'!E$2)</f>
        <v xml:space="preserve"> </v>
      </c>
      <c r="F55" s="2" t="str">
        <f>IF('weekly hours'!F55=0," ",'weekly hours'!F55/8*'weekly hours'!F$2)</f>
        <v xml:space="preserve"> </v>
      </c>
      <c r="G55" s="2" t="str">
        <f>IF('weekly hours'!G55=0," ",'weekly hours'!G55/8*'weekly hours'!G$2)</f>
        <v xml:space="preserve"> </v>
      </c>
      <c r="H55" s="2" t="str">
        <f>IF('weekly hours'!H55=0," ",'weekly hours'!H55/8*'weekly hours'!H$2)</f>
        <v xml:space="preserve"> </v>
      </c>
      <c r="I55" s="2" t="str">
        <f>IF('weekly hours'!I55=0," ",'weekly hours'!I55/8*'weekly hours'!I$2)</f>
        <v xml:space="preserve"> </v>
      </c>
      <c r="J55" s="2" t="str">
        <f>IF('weekly hours'!J55=0," ",'weekly hours'!J55/8*'weekly hours'!J$2)</f>
        <v xml:space="preserve"> </v>
      </c>
      <c r="K55" s="2" t="str">
        <f>IF('weekly hours'!K55=0," ",'weekly hours'!K55/8*'weekly hours'!K$2)</f>
        <v xml:space="preserve"> </v>
      </c>
      <c r="L55" s="2" t="str">
        <f>IF('weekly hours'!L55=0," ",'weekly hours'!L55/8*'weekly hours'!L$2)</f>
        <v xml:space="preserve"> </v>
      </c>
      <c r="M55" s="2" t="str">
        <f>IF('weekly hours'!M55=0," ",'weekly hours'!M55/8*'weekly hours'!M$2)</f>
        <v xml:space="preserve"> </v>
      </c>
      <c r="N55" s="2" t="str">
        <f>IF('weekly hours'!N55=0," ",'weekly hours'!N55/8*'weekly hours'!N$2)</f>
        <v xml:space="preserve"> </v>
      </c>
      <c r="O55" s="2" t="str">
        <f>IF('weekly hours'!O55=0," ",'weekly hours'!O55/8*'weekly hours'!O$2)</f>
        <v xml:space="preserve"> </v>
      </c>
      <c r="P55" s="2" t="str">
        <f>IF('weekly hours'!P55=0," ",'weekly hours'!P55/8*'weekly hours'!P$2)</f>
        <v xml:space="preserve"> </v>
      </c>
      <c r="Q55" s="2" t="str">
        <f>IF('weekly hours'!Q55=0," ",'weekly hours'!Q55/8*'weekly hours'!Q$2)</f>
        <v xml:space="preserve"> </v>
      </c>
      <c r="R55" s="2" t="str">
        <f>IF('weekly hours'!R55=0," ",'weekly hours'!R55/8*'weekly hours'!R$2)</f>
        <v xml:space="preserve"> </v>
      </c>
      <c r="S55" s="2" t="str">
        <f>IF('weekly hours'!S55=0," ",'weekly hours'!S55/8*'weekly hours'!S$2)</f>
        <v xml:space="preserve"> </v>
      </c>
      <c r="T55" s="2" t="str">
        <f>IF('weekly hours'!T55=0," ",'weekly hours'!T55/8*'weekly hours'!T$2)</f>
        <v xml:space="preserve"> </v>
      </c>
      <c r="U55" s="2" t="str">
        <f>IF('weekly hours'!U55=0," ",'weekly hours'!U55/8*'weekly hours'!U$2)</f>
        <v xml:space="preserve"> </v>
      </c>
      <c r="V55" s="2" t="str">
        <f>IF('weekly hours'!V55=0," ",'weekly hours'!V55/8*'weekly hours'!V$2)</f>
        <v xml:space="preserve"> </v>
      </c>
      <c r="W55" s="2"/>
    </row>
    <row r="56" spans="1:23" ht="14.25" customHeight="1" x14ac:dyDescent="0.55000000000000004">
      <c r="A56" s="1">
        <f>'weekly hours'!A56</f>
        <v>53</v>
      </c>
      <c r="B56" s="21">
        <f>'weekly hours'!B56</f>
        <v>46118</v>
      </c>
      <c r="C56" s="21">
        <f>'weekly hours'!C56</f>
        <v>46124</v>
      </c>
      <c r="D56" s="2" t="str">
        <f>IF('weekly hours'!D56=0," ",'weekly hours'!D56/8*'weekly hours'!D$2)</f>
        <v xml:space="preserve"> </v>
      </c>
      <c r="E56" s="2" t="str">
        <f>IF('weekly hours'!E56=0," ",'weekly hours'!E56/8*'weekly hours'!E$2)</f>
        <v xml:space="preserve"> </v>
      </c>
      <c r="F56" s="2" t="str">
        <f>IF('weekly hours'!F56=0," ",'weekly hours'!F56/8*'weekly hours'!F$2)</f>
        <v xml:space="preserve"> </v>
      </c>
      <c r="G56" s="2" t="str">
        <f>IF('weekly hours'!G56=0," ",'weekly hours'!G56/8*'weekly hours'!G$2)</f>
        <v xml:space="preserve"> </v>
      </c>
      <c r="H56" s="2" t="str">
        <f>IF('weekly hours'!H56=0," ",'weekly hours'!H56/8*'weekly hours'!H$2)</f>
        <v xml:space="preserve"> </v>
      </c>
      <c r="I56" s="2" t="str">
        <f>IF('weekly hours'!I56=0," ",'weekly hours'!I56/8*'weekly hours'!I$2)</f>
        <v xml:space="preserve"> </v>
      </c>
      <c r="J56" s="2" t="str">
        <f>IF('weekly hours'!J56=0," ",'weekly hours'!J56/8*'weekly hours'!J$2)</f>
        <v xml:space="preserve"> </v>
      </c>
      <c r="K56" s="2" t="str">
        <f>IF('weekly hours'!K56=0," ",'weekly hours'!K56/8*'weekly hours'!K$2)</f>
        <v xml:space="preserve"> </v>
      </c>
      <c r="L56" s="2" t="str">
        <f>IF('weekly hours'!L56=0," ",'weekly hours'!L56/8*'weekly hours'!L$2)</f>
        <v xml:space="preserve"> </v>
      </c>
      <c r="M56" s="2" t="str">
        <f>IF('weekly hours'!M56=0," ",'weekly hours'!M56/8*'weekly hours'!M$2)</f>
        <v xml:space="preserve"> </v>
      </c>
      <c r="N56" s="2" t="str">
        <f>IF('weekly hours'!N56=0," ",'weekly hours'!N56/8*'weekly hours'!N$2)</f>
        <v xml:space="preserve"> </v>
      </c>
      <c r="O56" s="2" t="str">
        <f>IF('weekly hours'!O56=0," ",'weekly hours'!O56/8*'weekly hours'!O$2)</f>
        <v xml:space="preserve"> </v>
      </c>
      <c r="P56" s="2" t="str">
        <f>IF('weekly hours'!P56=0," ",'weekly hours'!P56/8*'weekly hours'!P$2)</f>
        <v xml:space="preserve"> </v>
      </c>
      <c r="Q56" s="2" t="str">
        <f>IF('weekly hours'!Q56=0," ",'weekly hours'!Q56/8*'weekly hours'!Q$2)</f>
        <v xml:space="preserve"> </v>
      </c>
      <c r="R56" s="2" t="str">
        <f>IF('weekly hours'!R56=0," ",'weekly hours'!R56/8*'weekly hours'!R$2)</f>
        <v xml:space="preserve"> </v>
      </c>
      <c r="S56" s="2" t="str">
        <f>IF('weekly hours'!S56=0," ",'weekly hours'!S56/8*'weekly hours'!S$2)</f>
        <v xml:space="preserve"> </v>
      </c>
      <c r="T56" s="2" t="str">
        <f>IF('weekly hours'!T56=0," ",'weekly hours'!T56/8*'weekly hours'!T$2)</f>
        <v xml:space="preserve"> </v>
      </c>
      <c r="U56" s="2" t="str">
        <f>IF('weekly hours'!U56=0," ",'weekly hours'!U56/8*'weekly hours'!U$2)</f>
        <v xml:space="preserve"> </v>
      </c>
      <c r="V56" s="2" t="str">
        <f>IF('weekly hours'!V56=0," ",'weekly hours'!V56/8*'weekly hours'!V$2)</f>
        <v xml:space="preserve"> </v>
      </c>
      <c r="W56" s="2"/>
    </row>
    <row r="57" spans="1:23" ht="14.25" customHeight="1" x14ac:dyDescent="0.55000000000000004">
      <c r="A57" s="1">
        <f>'weekly hours'!A57</f>
        <v>54</v>
      </c>
      <c r="B57" s="21">
        <f>'weekly hours'!B57</f>
        <v>46125</v>
      </c>
      <c r="C57" s="21">
        <f>'weekly hours'!C57</f>
        <v>46131</v>
      </c>
      <c r="D57" s="2" t="str">
        <f>IF('weekly hours'!D57=0," ",'weekly hours'!D57/8*'weekly hours'!D$2)</f>
        <v xml:space="preserve"> </v>
      </c>
      <c r="E57" s="2" t="str">
        <f>IF('weekly hours'!E57=0," ",'weekly hours'!E57/8*'weekly hours'!E$2)</f>
        <v xml:space="preserve"> </v>
      </c>
      <c r="F57" s="2" t="str">
        <f>IF('weekly hours'!F57=0," ",'weekly hours'!F57/8*'weekly hours'!F$2)</f>
        <v xml:space="preserve"> </v>
      </c>
      <c r="G57" s="2" t="str">
        <f>IF('weekly hours'!G57=0," ",'weekly hours'!G57/8*'weekly hours'!G$2)</f>
        <v xml:space="preserve"> </v>
      </c>
      <c r="H57" s="2" t="str">
        <f>IF('weekly hours'!H57=0," ",'weekly hours'!H57/8*'weekly hours'!H$2)</f>
        <v xml:space="preserve"> </v>
      </c>
      <c r="I57" s="2" t="str">
        <f>IF('weekly hours'!I57=0," ",'weekly hours'!I57/8*'weekly hours'!I$2)</f>
        <v xml:space="preserve"> </v>
      </c>
      <c r="J57" s="2" t="str">
        <f>IF('weekly hours'!J57=0," ",'weekly hours'!J57/8*'weekly hours'!J$2)</f>
        <v xml:space="preserve"> </v>
      </c>
      <c r="K57" s="2" t="str">
        <f>IF('weekly hours'!K57=0," ",'weekly hours'!K57/8*'weekly hours'!K$2)</f>
        <v xml:space="preserve"> </v>
      </c>
      <c r="L57" s="2" t="str">
        <f>IF('weekly hours'!L57=0," ",'weekly hours'!L57/8*'weekly hours'!L$2)</f>
        <v xml:space="preserve"> </v>
      </c>
      <c r="M57" s="2" t="str">
        <f>IF('weekly hours'!M57=0," ",'weekly hours'!M57/8*'weekly hours'!M$2)</f>
        <v xml:space="preserve"> </v>
      </c>
      <c r="N57" s="2" t="str">
        <f>IF('weekly hours'!N57=0," ",'weekly hours'!N57/8*'weekly hours'!N$2)</f>
        <v xml:space="preserve"> </v>
      </c>
      <c r="O57" s="2" t="str">
        <f>IF('weekly hours'!O57=0," ",'weekly hours'!O57/8*'weekly hours'!O$2)</f>
        <v xml:space="preserve"> </v>
      </c>
      <c r="P57" s="2" t="str">
        <f>IF('weekly hours'!P57=0," ",'weekly hours'!P57/8*'weekly hours'!P$2)</f>
        <v xml:space="preserve"> </v>
      </c>
      <c r="Q57" s="2" t="str">
        <f>IF('weekly hours'!Q57=0," ",'weekly hours'!Q57/8*'weekly hours'!Q$2)</f>
        <v xml:space="preserve"> </v>
      </c>
      <c r="R57" s="2" t="str">
        <f>IF('weekly hours'!R57=0," ",'weekly hours'!R57/8*'weekly hours'!R$2)</f>
        <v xml:space="preserve"> </v>
      </c>
      <c r="S57" s="2" t="str">
        <f>IF('weekly hours'!S57=0," ",'weekly hours'!S57/8*'weekly hours'!S$2)</f>
        <v xml:space="preserve"> </v>
      </c>
      <c r="T57" s="2" t="str">
        <f>IF('weekly hours'!T57=0," ",'weekly hours'!T57/8*'weekly hours'!T$2)</f>
        <v xml:space="preserve"> </v>
      </c>
      <c r="U57" s="2" t="str">
        <f>IF('weekly hours'!U57=0," ",'weekly hours'!U57/8*'weekly hours'!U$2)</f>
        <v xml:space="preserve"> </v>
      </c>
      <c r="V57" s="2" t="str">
        <f>IF('weekly hours'!V57=0," ",'weekly hours'!V57/8*'weekly hours'!V$2)</f>
        <v xml:space="preserve"> </v>
      </c>
      <c r="W57" s="2"/>
    </row>
    <row r="58" spans="1:23" ht="14.25" customHeight="1" x14ac:dyDescent="0.55000000000000004">
      <c r="A58" s="1">
        <f>'weekly hours'!A58</f>
        <v>55</v>
      </c>
      <c r="B58" s="21">
        <f>'weekly hours'!B58</f>
        <v>46132</v>
      </c>
      <c r="C58" s="21">
        <f>'weekly hours'!C58</f>
        <v>46138</v>
      </c>
      <c r="D58" s="2" t="str">
        <f>IF('weekly hours'!D58=0," ",'weekly hours'!D58/8*'weekly hours'!D$2)</f>
        <v xml:space="preserve"> </v>
      </c>
      <c r="E58" s="2" t="str">
        <f>IF('weekly hours'!E58=0," ",'weekly hours'!E58/8*'weekly hours'!E$2)</f>
        <v xml:space="preserve"> </v>
      </c>
      <c r="F58" s="2" t="str">
        <f>IF('weekly hours'!F58=0," ",'weekly hours'!F58/8*'weekly hours'!F$2)</f>
        <v xml:space="preserve"> </v>
      </c>
      <c r="G58" s="2" t="str">
        <f>IF('weekly hours'!G58=0," ",'weekly hours'!G58/8*'weekly hours'!G$2)</f>
        <v xml:space="preserve"> </v>
      </c>
      <c r="H58" s="2" t="str">
        <f>IF('weekly hours'!H58=0," ",'weekly hours'!H58/8*'weekly hours'!H$2)</f>
        <v xml:space="preserve"> </v>
      </c>
      <c r="I58" s="2" t="str">
        <f>IF('weekly hours'!I58=0," ",'weekly hours'!I58/8*'weekly hours'!I$2)</f>
        <v xml:space="preserve"> </v>
      </c>
      <c r="J58" s="2" t="str">
        <f>IF('weekly hours'!J58=0," ",'weekly hours'!J58/8*'weekly hours'!J$2)</f>
        <v xml:space="preserve"> </v>
      </c>
      <c r="K58" s="2" t="str">
        <f>IF('weekly hours'!K58=0," ",'weekly hours'!K58/8*'weekly hours'!K$2)</f>
        <v xml:space="preserve"> </v>
      </c>
      <c r="L58" s="2" t="str">
        <f>IF('weekly hours'!L58=0," ",'weekly hours'!L58/8*'weekly hours'!L$2)</f>
        <v xml:space="preserve"> </v>
      </c>
      <c r="M58" s="2" t="str">
        <f>IF('weekly hours'!M58=0," ",'weekly hours'!M58/8*'weekly hours'!M$2)</f>
        <v xml:space="preserve"> </v>
      </c>
      <c r="N58" s="2" t="str">
        <f>IF('weekly hours'!N58=0," ",'weekly hours'!N58/8*'weekly hours'!N$2)</f>
        <v xml:space="preserve"> </v>
      </c>
      <c r="O58" s="2" t="str">
        <f>IF('weekly hours'!O58=0," ",'weekly hours'!O58/8*'weekly hours'!O$2)</f>
        <v xml:space="preserve"> </v>
      </c>
      <c r="P58" s="2" t="str">
        <f>IF('weekly hours'!P58=0," ",'weekly hours'!P58/8*'weekly hours'!P$2)</f>
        <v xml:space="preserve"> </v>
      </c>
      <c r="Q58" s="2" t="str">
        <f>IF('weekly hours'!Q58=0," ",'weekly hours'!Q58/8*'weekly hours'!Q$2)</f>
        <v xml:space="preserve"> </v>
      </c>
      <c r="R58" s="2" t="str">
        <f>IF('weekly hours'!R58=0," ",'weekly hours'!R58/8*'weekly hours'!R$2)</f>
        <v xml:space="preserve"> </v>
      </c>
      <c r="S58" s="2" t="str">
        <f>IF('weekly hours'!S58=0," ",'weekly hours'!S58/8*'weekly hours'!S$2)</f>
        <v xml:space="preserve"> </v>
      </c>
      <c r="T58" s="2" t="str">
        <f>IF('weekly hours'!T58=0," ",'weekly hours'!T58/8*'weekly hours'!T$2)</f>
        <v xml:space="preserve"> </v>
      </c>
      <c r="U58" s="2" t="str">
        <f>IF('weekly hours'!U58=0," ",'weekly hours'!U58/8*'weekly hours'!U$2)</f>
        <v xml:space="preserve"> </v>
      </c>
      <c r="V58" s="2" t="str">
        <f>IF('weekly hours'!V58=0," ",'weekly hours'!V58/8*'weekly hours'!V$2)</f>
        <v xml:space="preserve"> </v>
      </c>
      <c r="W58" s="2"/>
    </row>
    <row r="59" spans="1:23" ht="14.25" customHeight="1" x14ac:dyDescent="0.55000000000000004">
      <c r="A59" s="1">
        <f>'weekly hours'!A59</f>
        <v>56</v>
      </c>
      <c r="B59" s="21">
        <f>'weekly hours'!B59</f>
        <v>46139</v>
      </c>
      <c r="C59" s="21">
        <f>'weekly hours'!C59</f>
        <v>46145</v>
      </c>
      <c r="D59" s="2" t="str">
        <f>IF('weekly hours'!D59=0," ",'weekly hours'!D59/8*'weekly hours'!D$2)</f>
        <v xml:space="preserve"> </v>
      </c>
      <c r="E59" s="2" t="str">
        <f>IF('weekly hours'!E59=0," ",'weekly hours'!E59/8*'weekly hours'!E$2)</f>
        <v xml:space="preserve"> </v>
      </c>
      <c r="F59" s="2" t="str">
        <f>IF('weekly hours'!F59=0," ",'weekly hours'!F59/8*'weekly hours'!F$2)</f>
        <v xml:space="preserve"> </v>
      </c>
      <c r="G59" s="2" t="str">
        <f>IF('weekly hours'!G59=0," ",'weekly hours'!G59/8*'weekly hours'!G$2)</f>
        <v xml:space="preserve"> </v>
      </c>
      <c r="H59" s="2" t="str">
        <f>IF('weekly hours'!H59=0," ",'weekly hours'!H59/8*'weekly hours'!H$2)</f>
        <v xml:space="preserve"> </v>
      </c>
      <c r="I59" s="2" t="str">
        <f>IF('weekly hours'!I59=0," ",'weekly hours'!I59/8*'weekly hours'!I$2)</f>
        <v xml:space="preserve"> </v>
      </c>
      <c r="J59" s="2" t="str">
        <f>IF('weekly hours'!J59=0," ",'weekly hours'!J59/8*'weekly hours'!J$2)</f>
        <v xml:space="preserve"> </v>
      </c>
      <c r="K59" s="2" t="str">
        <f>IF('weekly hours'!K59=0," ",'weekly hours'!K59/8*'weekly hours'!K$2)</f>
        <v xml:space="preserve"> </v>
      </c>
      <c r="L59" s="2" t="str">
        <f>IF('weekly hours'!L59=0," ",'weekly hours'!L59/8*'weekly hours'!L$2)</f>
        <v xml:space="preserve"> </v>
      </c>
      <c r="M59" s="2" t="str">
        <f>IF('weekly hours'!M59=0," ",'weekly hours'!M59/8*'weekly hours'!M$2)</f>
        <v xml:space="preserve"> </v>
      </c>
      <c r="N59" s="2" t="str">
        <f>IF('weekly hours'!N59=0," ",'weekly hours'!N59/8*'weekly hours'!N$2)</f>
        <v xml:space="preserve"> </v>
      </c>
      <c r="O59" s="2" t="str">
        <f>IF('weekly hours'!O59=0," ",'weekly hours'!O59/8*'weekly hours'!O$2)</f>
        <v xml:space="preserve"> </v>
      </c>
      <c r="P59" s="2" t="str">
        <f>IF('weekly hours'!P59=0," ",'weekly hours'!P59/8*'weekly hours'!P$2)</f>
        <v xml:space="preserve"> </v>
      </c>
      <c r="Q59" s="2" t="str">
        <f>IF('weekly hours'!Q59=0," ",'weekly hours'!Q59/8*'weekly hours'!Q$2)</f>
        <v xml:space="preserve"> </v>
      </c>
      <c r="R59" s="2" t="str">
        <f>IF('weekly hours'!R59=0," ",'weekly hours'!R59/8*'weekly hours'!R$2)</f>
        <v xml:space="preserve"> </v>
      </c>
      <c r="S59" s="2" t="str">
        <f>IF('weekly hours'!S59=0," ",'weekly hours'!S59/8*'weekly hours'!S$2)</f>
        <v xml:space="preserve"> </v>
      </c>
      <c r="T59" s="2" t="str">
        <f>IF('weekly hours'!T59=0," ",'weekly hours'!T59/8*'weekly hours'!T$2)</f>
        <v xml:space="preserve"> </v>
      </c>
      <c r="U59" s="2" t="str">
        <f>IF('weekly hours'!U59=0," ",'weekly hours'!U59/8*'weekly hours'!U$2)</f>
        <v xml:space="preserve"> </v>
      </c>
      <c r="V59" s="2" t="str">
        <f>IF('weekly hours'!V59=0," ",'weekly hours'!V59/8*'weekly hours'!V$2)</f>
        <v xml:space="preserve"> </v>
      </c>
      <c r="W59" s="2"/>
    </row>
    <row r="60" spans="1:23" ht="14.25" customHeight="1" x14ac:dyDescent="0.55000000000000004">
      <c r="A60" s="1">
        <f>'weekly hours'!A60</f>
        <v>57</v>
      </c>
      <c r="B60" s="21">
        <f>'weekly hours'!B60</f>
        <v>46146</v>
      </c>
      <c r="C60" s="21">
        <f>'weekly hours'!C60</f>
        <v>46152</v>
      </c>
      <c r="D60" s="2" t="str">
        <f>IF('weekly hours'!D60=0," ",'weekly hours'!D60/8*'weekly hours'!D$2)</f>
        <v xml:space="preserve"> </v>
      </c>
      <c r="E60" s="2" t="str">
        <f>IF('weekly hours'!E60=0," ",'weekly hours'!E60/8*'weekly hours'!E$2)</f>
        <v xml:space="preserve"> </v>
      </c>
      <c r="F60" s="2" t="str">
        <f>IF('weekly hours'!F60=0," ",'weekly hours'!F60/8*'weekly hours'!F$2)</f>
        <v xml:space="preserve"> </v>
      </c>
      <c r="G60" s="2" t="str">
        <f>IF('weekly hours'!G60=0," ",'weekly hours'!G60/8*'weekly hours'!G$2)</f>
        <v xml:space="preserve"> </v>
      </c>
      <c r="H60" s="2" t="str">
        <f>IF('weekly hours'!H60=0," ",'weekly hours'!H60/8*'weekly hours'!H$2)</f>
        <v xml:space="preserve"> </v>
      </c>
      <c r="I60" s="2" t="str">
        <f>IF('weekly hours'!I60=0," ",'weekly hours'!I60/8*'weekly hours'!I$2)</f>
        <v xml:space="preserve"> </v>
      </c>
      <c r="J60" s="2" t="str">
        <f>IF('weekly hours'!J60=0," ",'weekly hours'!J60/8*'weekly hours'!J$2)</f>
        <v xml:space="preserve"> </v>
      </c>
      <c r="K60" s="2" t="str">
        <f>IF('weekly hours'!K60=0," ",'weekly hours'!K60/8*'weekly hours'!K$2)</f>
        <v xml:space="preserve"> </v>
      </c>
      <c r="L60" s="2" t="str">
        <f>IF('weekly hours'!L60=0," ",'weekly hours'!L60/8*'weekly hours'!L$2)</f>
        <v xml:space="preserve"> </v>
      </c>
      <c r="M60" s="2" t="str">
        <f>IF('weekly hours'!M60=0," ",'weekly hours'!M60/8*'weekly hours'!M$2)</f>
        <v xml:space="preserve"> </v>
      </c>
      <c r="N60" s="2" t="str">
        <f>IF('weekly hours'!N60=0," ",'weekly hours'!N60/8*'weekly hours'!N$2)</f>
        <v xml:space="preserve"> </v>
      </c>
      <c r="O60" s="2" t="str">
        <f>IF('weekly hours'!O60=0," ",'weekly hours'!O60/8*'weekly hours'!O$2)</f>
        <v xml:space="preserve"> </v>
      </c>
      <c r="P60" s="2" t="str">
        <f>IF('weekly hours'!P60=0," ",'weekly hours'!P60/8*'weekly hours'!P$2)</f>
        <v xml:space="preserve"> </v>
      </c>
      <c r="Q60" s="2" t="str">
        <f>IF('weekly hours'!Q60=0," ",'weekly hours'!Q60/8*'weekly hours'!Q$2)</f>
        <v xml:space="preserve"> </v>
      </c>
      <c r="R60" s="2" t="str">
        <f>IF('weekly hours'!R60=0," ",'weekly hours'!R60/8*'weekly hours'!R$2)</f>
        <v xml:space="preserve"> </v>
      </c>
      <c r="S60" s="2" t="str">
        <f>IF('weekly hours'!S60=0," ",'weekly hours'!S60/8*'weekly hours'!S$2)</f>
        <v xml:space="preserve"> </v>
      </c>
      <c r="T60" s="2" t="str">
        <f>IF('weekly hours'!T60=0," ",'weekly hours'!T60/8*'weekly hours'!T$2)</f>
        <v xml:space="preserve"> </v>
      </c>
      <c r="U60" s="2" t="str">
        <f>IF('weekly hours'!U60=0," ",'weekly hours'!U60/8*'weekly hours'!U$2)</f>
        <v xml:space="preserve"> </v>
      </c>
      <c r="V60" s="2" t="str">
        <f>IF('weekly hours'!V60=0," ",'weekly hours'!V60/8*'weekly hours'!V$2)</f>
        <v xml:space="preserve"> </v>
      </c>
      <c r="W60" s="2"/>
    </row>
    <row r="61" spans="1:23" ht="14.25" customHeight="1" x14ac:dyDescent="0.55000000000000004">
      <c r="A61" s="1">
        <f>'weekly hours'!A61</f>
        <v>58</v>
      </c>
      <c r="B61" s="21">
        <f>'weekly hours'!B61</f>
        <v>46153</v>
      </c>
      <c r="C61" s="21">
        <f>'weekly hours'!C61</f>
        <v>46159</v>
      </c>
      <c r="D61" s="2" t="str">
        <f>IF('weekly hours'!D61=0," ",'weekly hours'!D61/8*'weekly hours'!D$2)</f>
        <v xml:space="preserve"> </v>
      </c>
      <c r="E61" s="2" t="str">
        <f>IF('weekly hours'!E61=0," ",'weekly hours'!E61/8*'weekly hours'!E$2)</f>
        <v xml:space="preserve"> </v>
      </c>
      <c r="F61" s="2" t="str">
        <f>IF('weekly hours'!F61=0," ",'weekly hours'!F61/8*'weekly hours'!F$2)</f>
        <v xml:space="preserve"> </v>
      </c>
      <c r="G61" s="2" t="str">
        <f>IF('weekly hours'!G61=0," ",'weekly hours'!G61/8*'weekly hours'!G$2)</f>
        <v xml:space="preserve"> </v>
      </c>
      <c r="H61" s="2" t="str">
        <f>IF('weekly hours'!H61=0," ",'weekly hours'!H61/8*'weekly hours'!H$2)</f>
        <v xml:space="preserve"> </v>
      </c>
      <c r="I61" s="2" t="str">
        <f>IF('weekly hours'!I61=0," ",'weekly hours'!I61/8*'weekly hours'!I$2)</f>
        <v xml:space="preserve"> </v>
      </c>
      <c r="J61" s="2" t="str">
        <f>IF('weekly hours'!J61=0," ",'weekly hours'!J61/8*'weekly hours'!J$2)</f>
        <v xml:space="preserve"> </v>
      </c>
      <c r="K61" s="2" t="str">
        <f>IF('weekly hours'!K61=0," ",'weekly hours'!K61/8*'weekly hours'!K$2)</f>
        <v xml:space="preserve"> </v>
      </c>
      <c r="L61" s="2" t="str">
        <f>IF('weekly hours'!L61=0," ",'weekly hours'!L61/8*'weekly hours'!L$2)</f>
        <v xml:space="preserve"> </v>
      </c>
      <c r="M61" s="2" t="str">
        <f>IF('weekly hours'!M61=0," ",'weekly hours'!M61/8*'weekly hours'!M$2)</f>
        <v xml:space="preserve"> </v>
      </c>
      <c r="N61" s="2" t="str">
        <f>IF('weekly hours'!N61=0," ",'weekly hours'!N61/8*'weekly hours'!N$2)</f>
        <v xml:space="preserve"> </v>
      </c>
      <c r="O61" s="2" t="str">
        <f>IF('weekly hours'!O61=0," ",'weekly hours'!O61/8*'weekly hours'!O$2)</f>
        <v xml:space="preserve"> </v>
      </c>
      <c r="P61" s="2" t="str">
        <f>IF('weekly hours'!P61=0," ",'weekly hours'!P61/8*'weekly hours'!P$2)</f>
        <v xml:space="preserve"> </v>
      </c>
      <c r="Q61" s="2" t="str">
        <f>IF('weekly hours'!Q61=0," ",'weekly hours'!Q61/8*'weekly hours'!Q$2)</f>
        <v xml:space="preserve"> </v>
      </c>
      <c r="R61" s="2" t="str">
        <f>IF('weekly hours'!R61=0," ",'weekly hours'!R61/8*'weekly hours'!R$2)</f>
        <v xml:space="preserve"> </v>
      </c>
      <c r="S61" s="2" t="str">
        <f>IF('weekly hours'!S61=0," ",'weekly hours'!S61/8*'weekly hours'!S$2)</f>
        <v xml:space="preserve"> </v>
      </c>
      <c r="T61" s="2" t="str">
        <f>IF('weekly hours'!T61=0," ",'weekly hours'!T61/8*'weekly hours'!T$2)</f>
        <v xml:space="preserve"> </v>
      </c>
      <c r="U61" s="2" t="str">
        <f>IF('weekly hours'!U61=0," ",'weekly hours'!U61/8*'weekly hours'!U$2)</f>
        <v xml:space="preserve"> </v>
      </c>
      <c r="V61" s="2" t="str">
        <f>IF('weekly hours'!V61=0," ",'weekly hours'!V61/8*'weekly hours'!V$2)</f>
        <v xml:space="preserve"> </v>
      </c>
      <c r="W61" s="2"/>
    </row>
    <row r="62" spans="1:23" ht="14.25" customHeight="1" x14ac:dyDescent="0.55000000000000004">
      <c r="A62" s="1">
        <f>'weekly hours'!A62</f>
        <v>59</v>
      </c>
      <c r="B62" s="21">
        <f>'weekly hours'!B62</f>
        <v>46160</v>
      </c>
      <c r="C62" s="21">
        <f>'weekly hours'!C62</f>
        <v>46166</v>
      </c>
      <c r="D62" s="2" t="str">
        <f>IF('weekly hours'!D62=0," ",'weekly hours'!D62/8*'weekly hours'!D$2)</f>
        <v xml:space="preserve"> </v>
      </c>
      <c r="E62" s="2" t="str">
        <f>IF('weekly hours'!E62=0," ",'weekly hours'!E62/8*'weekly hours'!E$2)</f>
        <v xml:space="preserve"> </v>
      </c>
      <c r="F62" s="2" t="str">
        <f>IF('weekly hours'!F62=0," ",'weekly hours'!F62/8*'weekly hours'!F$2)</f>
        <v xml:space="preserve"> </v>
      </c>
      <c r="G62" s="2" t="str">
        <f>IF('weekly hours'!G62=0," ",'weekly hours'!G62/8*'weekly hours'!G$2)</f>
        <v xml:space="preserve"> </v>
      </c>
      <c r="H62" s="2" t="str">
        <f>IF('weekly hours'!H62=0," ",'weekly hours'!H62/8*'weekly hours'!H$2)</f>
        <v xml:space="preserve"> </v>
      </c>
      <c r="I62" s="2" t="str">
        <f>IF('weekly hours'!I62=0," ",'weekly hours'!I62/8*'weekly hours'!I$2)</f>
        <v xml:space="preserve"> </v>
      </c>
      <c r="J62" s="2" t="str">
        <f>IF('weekly hours'!J62=0," ",'weekly hours'!J62/8*'weekly hours'!J$2)</f>
        <v xml:space="preserve"> </v>
      </c>
      <c r="K62" s="2" t="str">
        <f>IF('weekly hours'!K62=0," ",'weekly hours'!K62/8*'weekly hours'!K$2)</f>
        <v xml:space="preserve"> </v>
      </c>
      <c r="L62" s="2" t="str">
        <f>IF('weekly hours'!L62=0," ",'weekly hours'!L62/8*'weekly hours'!L$2)</f>
        <v xml:space="preserve"> </v>
      </c>
      <c r="M62" s="2" t="str">
        <f>IF('weekly hours'!M62=0," ",'weekly hours'!M62/8*'weekly hours'!M$2)</f>
        <v xml:space="preserve"> </v>
      </c>
      <c r="N62" s="2" t="str">
        <f>IF('weekly hours'!N62=0," ",'weekly hours'!N62/8*'weekly hours'!N$2)</f>
        <v xml:space="preserve"> </v>
      </c>
      <c r="O62" s="2" t="str">
        <f>IF('weekly hours'!O62=0," ",'weekly hours'!O62/8*'weekly hours'!O$2)</f>
        <v xml:space="preserve"> </v>
      </c>
      <c r="P62" s="2" t="str">
        <f>IF('weekly hours'!P62=0," ",'weekly hours'!P62/8*'weekly hours'!P$2)</f>
        <v xml:space="preserve"> </v>
      </c>
      <c r="Q62" s="2" t="str">
        <f>IF('weekly hours'!Q62=0," ",'weekly hours'!Q62/8*'weekly hours'!Q$2)</f>
        <v xml:space="preserve"> </v>
      </c>
      <c r="R62" s="2" t="str">
        <f>IF('weekly hours'!R62=0," ",'weekly hours'!R62/8*'weekly hours'!R$2)</f>
        <v xml:space="preserve"> </v>
      </c>
      <c r="S62" s="2" t="str">
        <f>IF('weekly hours'!S62=0," ",'weekly hours'!S62/8*'weekly hours'!S$2)</f>
        <v xml:space="preserve"> </v>
      </c>
      <c r="T62" s="2" t="str">
        <f>IF('weekly hours'!T62=0," ",'weekly hours'!T62/8*'weekly hours'!T$2)</f>
        <v xml:space="preserve"> </v>
      </c>
      <c r="U62" s="2" t="str">
        <f>IF('weekly hours'!U62=0," ",'weekly hours'!U62/8*'weekly hours'!U$2)</f>
        <v xml:space="preserve"> </v>
      </c>
      <c r="V62" s="2" t="str">
        <f>IF('weekly hours'!V62=0," ",'weekly hours'!V62/8*'weekly hours'!V$2)</f>
        <v xml:space="preserve"> </v>
      </c>
      <c r="W62" s="2"/>
    </row>
    <row r="63" spans="1:23" ht="14.25" customHeight="1" x14ac:dyDescent="0.55000000000000004">
      <c r="A63" s="1">
        <f>'weekly hours'!A63</f>
        <v>60</v>
      </c>
      <c r="B63" s="21">
        <f>'weekly hours'!B63</f>
        <v>46167</v>
      </c>
      <c r="C63" s="21">
        <f>'weekly hours'!C63</f>
        <v>46173</v>
      </c>
      <c r="D63" s="2" t="str">
        <f>IF('weekly hours'!D63=0," ",'weekly hours'!D63/8*'weekly hours'!D$2)</f>
        <v xml:space="preserve"> </v>
      </c>
      <c r="E63" s="2" t="str">
        <f>IF('weekly hours'!E63=0," ",'weekly hours'!E63/8*'weekly hours'!E$2)</f>
        <v xml:space="preserve"> </v>
      </c>
      <c r="F63" s="2" t="str">
        <f>IF('weekly hours'!F63=0," ",'weekly hours'!F63/8*'weekly hours'!F$2)</f>
        <v xml:space="preserve"> </v>
      </c>
      <c r="G63" s="2" t="str">
        <f>IF('weekly hours'!G63=0," ",'weekly hours'!G63/8*'weekly hours'!G$2)</f>
        <v xml:space="preserve"> </v>
      </c>
      <c r="H63" s="2" t="str">
        <f>IF('weekly hours'!H63=0," ",'weekly hours'!H63/8*'weekly hours'!H$2)</f>
        <v xml:space="preserve"> </v>
      </c>
      <c r="I63" s="2" t="str">
        <f>IF('weekly hours'!I63=0," ",'weekly hours'!I63/8*'weekly hours'!I$2)</f>
        <v xml:space="preserve"> </v>
      </c>
      <c r="J63" s="2" t="str">
        <f>IF('weekly hours'!J63=0," ",'weekly hours'!J63/8*'weekly hours'!J$2)</f>
        <v xml:space="preserve"> </v>
      </c>
      <c r="K63" s="2" t="str">
        <f>IF('weekly hours'!K63=0," ",'weekly hours'!K63/8*'weekly hours'!K$2)</f>
        <v xml:space="preserve"> </v>
      </c>
      <c r="L63" s="2" t="str">
        <f>IF('weekly hours'!L63=0," ",'weekly hours'!L63/8*'weekly hours'!L$2)</f>
        <v xml:space="preserve"> </v>
      </c>
      <c r="M63" s="2" t="str">
        <f>IF('weekly hours'!M63=0," ",'weekly hours'!M63/8*'weekly hours'!M$2)</f>
        <v xml:space="preserve"> </v>
      </c>
      <c r="N63" s="2" t="str">
        <f>IF('weekly hours'!N63=0," ",'weekly hours'!N63/8*'weekly hours'!N$2)</f>
        <v xml:space="preserve"> </v>
      </c>
      <c r="O63" s="2" t="str">
        <f>IF('weekly hours'!O63=0," ",'weekly hours'!O63/8*'weekly hours'!O$2)</f>
        <v xml:space="preserve"> </v>
      </c>
      <c r="P63" s="2" t="str">
        <f>IF('weekly hours'!P63=0," ",'weekly hours'!P63/8*'weekly hours'!P$2)</f>
        <v xml:space="preserve"> </v>
      </c>
      <c r="Q63" s="2" t="str">
        <f>IF('weekly hours'!Q63=0," ",'weekly hours'!Q63/8*'weekly hours'!Q$2)</f>
        <v xml:space="preserve"> </v>
      </c>
      <c r="R63" s="2" t="str">
        <f>IF('weekly hours'!R63=0," ",'weekly hours'!R63/8*'weekly hours'!R$2)</f>
        <v xml:space="preserve"> </v>
      </c>
      <c r="S63" s="2" t="str">
        <f>IF('weekly hours'!S63=0," ",'weekly hours'!S63/8*'weekly hours'!S$2)</f>
        <v xml:space="preserve"> </v>
      </c>
      <c r="T63" s="2" t="str">
        <f>IF('weekly hours'!T63=0," ",'weekly hours'!T63/8*'weekly hours'!T$2)</f>
        <v xml:space="preserve"> </v>
      </c>
      <c r="U63" s="2" t="str">
        <f>IF('weekly hours'!U63=0," ",'weekly hours'!U63/8*'weekly hours'!U$2)</f>
        <v xml:space="preserve"> </v>
      </c>
      <c r="V63" s="2" t="str">
        <f>IF('weekly hours'!V63=0," ",'weekly hours'!V63/8*'weekly hours'!V$2)</f>
        <v xml:space="preserve"> </v>
      </c>
      <c r="W63" s="2"/>
    </row>
    <row r="64" spans="1:23" ht="14.25" customHeight="1" x14ac:dyDescent="0.55000000000000004">
      <c r="A64" s="1">
        <f>'weekly hours'!A64</f>
        <v>61</v>
      </c>
      <c r="B64" s="21">
        <f>'weekly hours'!B64</f>
        <v>46174</v>
      </c>
      <c r="C64" s="21">
        <f>'weekly hours'!C64</f>
        <v>46180</v>
      </c>
      <c r="D64" s="2" t="str">
        <f>IF('weekly hours'!D64=0," ",'weekly hours'!D64/8*'weekly hours'!D$2)</f>
        <v xml:space="preserve"> </v>
      </c>
      <c r="E64" s="2" t="str">
        <f>IF('weekly hours'!E64=0," ",'weekly hours'!E64/8*'weekly hours'!E$2)</f>
        <v xml:space="preserve"> </v>
      </c>
      <c r="F64" s="2" t="str">
        <f>IF('weekly hours'!F64=0," ",'weekly hours'!F64/8*'weekly hours'!F$2)</f>
        <v xml:space="preserve"> </v>
      </c>
      <c r="G64" s="2" t="str">
        <f>IF('weekly hours'!G64=0," ",'weekly hours'!G64/8*'weekly hours'!G$2)</f>
        <v xml:space="preserve"> </v>
      </c>
      <c r="H64" s="2" t="str">
        <f>IF('weekly hours'!H64=0," ",'weekly hours'!H64/8*'weekly hours'!H$2)</f>
        <v xml:space="preserve"> </v>
      </c>
      <c r="I64" s="2" t="str">
        <f>IF('weekly hours'!I64=0," ",'weekly hours'!I64/8*'weekly hours'!I$2)</f>
        <v xml:space="preserve"> </v>
      </c>
      <c r="J64" s="2" t="str">
        <f>IF('weekly hours'!J64=0," ",'weekly hours'!J64/8*'weekly hours'!J$2)</f>
        <v xml:space="preserve"> </v>
      </c>
      <c r="K64" s="2" t="str">
        <f>IF('weekly hours'!K64=0," ",'weekly hours'!K64/8*'weekly hours'!K$2)</f>
        <v xml:space="preserve"> </v>
      </c>
      <c r="L64" s="2" t="str">
        <f>IF('weekly hours'!L64=0," ",'weekly hours'!L64/8*'weekly hours'!L$2)</f>
        <v xml:space="preserve"> </v>
      </c>
      <c r="M64" s="2" t="str">
        <f>IF('weekly hours'!M64=0," ",'weekly hours'!M64/8*'weekly hours'!M$2)</f>
        <v xml:space="preserve"> </v>
      </c>
      <c r="N64" s="2" t="str">
        <f>IF('weekly hours'!N64=0," ",'weekly hours'!N64/8*'weekly hours'!N$2)</f>
        <v xml:space="preserve"> </v>
      </c>
      <c r="O64" s="2" t="str">
        <f>IF('weekly hours'!O64=0," ",'weekly hours'!O64/8*'weekly hours'!O$2)</f>
        <v xml:space="preserve"> </v>
      </c>
      <c r="P64" s="2" t="str">
        <f>IF('weekly hours'!P64=0," ",'weekly hours'!P64/8*'weekly hours'!P$2)</f>
        <v xml:space="preserve"> </v>
      </c>
      <c r="Q64" s="2" t="str">
        <f>IF('weekly hours'!Q64=0," ",'weekly hours'!Q64/8*'weekly hours'!Q$2)</f>
        <v xml:space="preserve"> </v>
      </c>
      <c r="R64" s="2" t="str">
        <f>IF('weekly hours'!R64=0," ",'weekly hours'!R64/8*'weekly hours'!R$2)</f>
        <v xml:space="preserve"> </v>
      </c>
      <c r="S64" s="2" t="str">
        <f>IF('weekly hours'!S64=0," ",'weekly hours'!S64/8*'weekly hours'!S$2)</f>
        <v xml:space="preserve"> </v>
      </c>
      <c r="T64" s="2" t="str">
        <f>IF('weekly hours'!T64=0," ",'weekly hours'!T64/8*'weekly hours'!T$2)</f>
        <v xml:space="preserve"> </v>
      </c>
      <c r="U64" s="2" t="str">
        <f>IF('weekly hours'!U64=0," ",'weekly hours'!U64/8*'weekly hours'!U$2)</f>
        <v xml:space="preserve"> </v>
      </c>
      <c r="V64" s="2" t="str">
        <f>IF('weekly hours'!V64=0," ",'weekly hours'!V64/8*'weekly hours'!V$2)</f>
        <v xml:space="preserve"> </v>
      </c>
      <c r="W64" s="2"/>
    </row>
    <row r="65" spans="1:23" ht="14.25" customHeight="1" x14ac:dyDescent="0.55000000000000004">
      <c r="A65" s="1">
        <f>'weekly hours'!A65</f>
        <v>62</v>
      </c>
      <c r="B65" s="21">
        <f>'weekly hours'!B65</f>
        <v>46181</v>
      </c>
      <c r="C65" s="21">
        <f>'weekly hours'!C65</f>
        <v>46187</v>
      </c>
      <c r="D65" s="2" t="str">
        <f>IF('weekly hours'!D65=0," ",'weekly hours'!D65/8*'weekly hours'!D$2)</f>
        <v xml:space="preserve"> </v>
      </c>
      <c r="E65" s="2" t="str">
        <f>IF('weekly hours'!E65=0," ",'weekly hours'!E65/8*'weekly hours'!E$2)</f>
        <v xml:space="preserve"> </v>
      </c>
      <c r="F65" s="2" t="str">
        <f>IF('weekly hours'!F65=0," ",'weekly hours'!F65/8*'weekly hours'!F$2)</f>
        <v xml:space="preserve"> </v>
      </c>
      <c r="G65" s="2" t="str">
        <f>IF('weekly hours'!G65=0," ",'weekly hours'!G65/8*'weekly hours'!G$2)</f>
        <v xml:space="preserve"> </v>
      </c>
      <c r="H65" s="2" t="str">
        <f>IF('weekly hours'!H65=0," ",'weekly hours'!H65/8*'weekly hours'!H$2)</f>
        <v xml:space="preserve"> </v>
      </c>
      <c r="I65" s="2" t="str">
        <f>IF('weekly hours'!I65=0," ",'weekly hours'!I65/8*'weekly hours'!I$2)</f>
        <v xml:space="preserve"> </v>
      </c>
      <c r="J65" s="2" t="str">
        <f>IF('weekly hours'!J65=0," ",'weekly hours'!J65/8*'weekly hours'!J$2)</f>
        <v xml:space="preserve"> </v>
      </c>
      <c r="K65" s="2" t="str">
        <f>IF('weekly hours'!K65=0," ",'weekly hours'!K65/8*'weekly hours'!K$2)</f>
        <v xml:space="preserve"> </v>
      </c>
      <c r="L65" s="2" t="str">
        <f>IF('weekly hours'!L65=0," ",'weekly hours'!L65/8*'weekly hours'!L$2)</f>
        <v xml:space="preserve"> </v>
      </c>
      <c r="M65" s="2" t="str">
        <f>IF('weekly hours'!M65=0," ",'weekly hours'!M65/8*'weekly hours'!M$2)</f>
        <v xml:space="preserve"> </v>
      </c>
      <c r="N65" s="2" t="str">
        <f>IF('weekly hours'!N65=0," ",'weekly hours'!N65/8*'weekly hours'!N$2)</f>
        <v xml:space="preserve"> </v>
      </c>
      <c r="O65" s="2" t="str">
        <f>IF('weekly hours'!O65=0," ",'weekly hours'!O65/8*'weekly hours'!O$2)</f>
        <v xml:space="preserve"> </v>
      </c>
      <c r="P65" s="2" t="str">
        <f>IF('weekly hours'!P65=0," ",'weekly hours'!P65/8*'weekly hours'!P$2)</f>
        <v xml:space="preserve"> </v>
      </c>
      <c r="Q65" s="2" t="str">
        <f>IF('weekly hours'!Q65=0," ",'weekly hours'!Q65/8*'weekly hours'!Q$2)</f>
        <v xml:space="preserve"> </v>
      </c>
      <c r="R65" s="2" t="str">
        <f>IF('weekly hours'!R65=0," ",'weekly hours'!R65/8*'weekly hours'!R$2)</f>
        <v xml:space="preserve"> </v>
      </c>
      <c r="S65" s="2" t="str">
        <f>IF('weekly hours'!S65=0," ",'weekly hours'!S65/8*'weekly hours'!S$2)</f>
        <v xml:space="preserve"> </v>
      </c>
      <c r="T65" s="2" t="str">
        <f>IF('weekly hours'!T65=0," ",'weekly hours'!T65/8*'weekly hours'!T$2)</f>
        <v xml:space="preserve"> </v>
      </c>
      <c r="U65" s="2" t="str">
        <f>IF('weekly hours'!U65=0," ",'weekly hours'!U65/8*'weekly hours'!U$2)</f>
        <v xml:space="preserve"> </v>
      </c>
      <c r="V65" s="2" t="str">
        <f>IF('weekly hours'!V65=0," ",'weekly hours'!V65/8*'weekly hours'!V$2)</f>
        <v xml:space="preserve"> </v>
      </c>
      <c r="W65" s="2"/>
    </row>
    <row r="66" spans="1:23" ht="14.25" customHeight="1" x14ac:dyDescent="0.55000000000000004">
      <c r="A66" s="1">
        <f>'weekly hours'!A66</f>
        <v>63</v>
      </c>
      <c r="B66" s="21">
        <f>'weekly hours'!B66</f>
        <v>46188</v>
      </c>
      <c r="C66" s="21">
        <f>'weekly hours'!C66</f>
        <v>46194</v>
      </c>
      <c r="D66" s="2" t="str">
        <f>IF('weekly hours'!D66=0," ",'weekly hours'!D66/8*'weekly hours'!D$2)</f>
        <v xml:space="preserve"> </v>
      </c>
      <c r="E66" s="2" t="str">
        <f>IF('weekly hours'!E66=0," ",'weekly hours'!E66/8*'weekly hours'!E$2)</f>
        <v xml:space="preserve"> </v>
      </c>
      <c r="F66" s="2" t="str">
        <f>IF('weekly hours'!F66=0," ",'weekly hours'!F66/8*'weekly hours'!F$2)</f>
        <v xml:space="preserve"> </v>
      </c>
      <c r="G66" s="2" t="str">
        <f>IF('weekly hours'!G66=0," ",'weekly hours'!G66/8*'weekly hours'!G$2)</f>
        <v xml:space="preserve"> </v>
      </c>
      <c r="H66" s="2" t="str">
        <f>IF('weekly hours'!H66=0," ",'weekly hours'!H66/8*'weekly hours'!H$2)</f>
        <v xml:space="preserve"> </v>
      </c>
      <c r="I66" s="2" t="str">
        <f>IF('weekly hours'!I66=0," ",'weekly hours'!I66/8*'weekly hours'!I$2)</f>
        <v xml:space="preserve"> </v>
      </c>
      <c r="J66" s="2" t="str">
        <f>IF('weekly hours'!J66=0," ",'weekly hours'!J66/8*'weekly hours'!J$2)</f>
        <v xml:space="preserve"> </v>
      </c>
      <c r="K66" s="2" t="str">
        <f>IF('weekly hours'!K66=0," ",'weekly hours'!K66/8*'weekly hours'!K$2)</f>
        <v xml:space="preserve"> </v>
      </c>
      <c r="L66" s="2" t="str">
        <f>IF('weekly hours'!L66=0," ",'weekly hours'!L66/8*'weekly hours'!L$2)</f>
        <v xml:space="preserve"> </v>
      </c>
      <c r="M66" s="2" t="str">
        <f>IF('weekly hours'!M66=0," ",'weekly hours'!M66/8*'weekly hours'!M$2)</f>
        <v xml:space="preserve"> </v>
      </c>
      <c r="N66" s="2" t="str">
        <f>IF('weekly hours'!N66=0," ",'weekly hours'!N66/8*'weekly hours'!N$2)</f>
        <v xml:space="preserve"> </v>
      </c>
      <c r="O66" s="2" t="str">
        <f>IF('weekly hours'!O66=0," ",'weekly hours'!O66/8*'weekly hours'!O$2)</f>
        <v xml:space="preserve"> </v>
      </c>
      <c r="P66" s="2" t="str">
        <f>IF('weekly hours'!P66=0," ",'weekly hours'!P66/8*'weekly hours'!P$2)</f>
        <v xml:space="preserve"> </v>
      </c>
      <c r="Q66" s="2" t="str">
        <f>IF('weekly hours'!Q66=0," ",'weekly hours'!Q66/8*'weekly hours'!Q$2)</f>
        <v xml:space="preserve"> </v>
      </c>
      <c r="R66" s="2" t="str">
        <f>IF('weekly hours'!R66=0," ",'weekly hours'!R66/8*'weekly hours'!R$2)</f>
        <v xml:space="preserve"> </v>
      </c>
      <c r="S66" s="2" t="str">
        <f>IF('weekly hours'!S66=0," ",'weekly hours'!S66/8*'weekly hours'!S$2)</f>
        <v xml:space="preserve"> </v>
      </c>
      <c r="T66" s="2" t="str">
        <f>IF('weekly hours'!T66=0," ",'weekly hours'!T66/8*'weekly hours'!T$2)</f>
        <v xml:space="preserve"> </v>
      </c>
      <c r="U66" s="2" t="str">
        <f>IF('weekly hours'!U66=0," ",'weekly hours'!U66/8*'weekly hours'!U$2)</f>
        <v xml:space="preserve"> </v>
      </c>
      <c r="V66" s="2" t="str">
        <f>IF('weekly hours'!V66=0," ",'weekly hours'!V66/8*'weekly hours'!V$2)</f>
        <v xml:space="preserve"> </v>
      </c>
      <c r="W66" s="2"/>
    </row>
    <row r="67" spans="1:23" ht="14.25" customHeight="1" x14ac:dyDescent="0.55000000000000004">
      <c r="A67" s="1">
        <f>'weekly hours'!A67</f>
        <v>64</v>
      </c>
      <c r="B67" s="21">
        <f>'weekly hours'!B67</f>
        <v>46195</v>
      </c>
      <c r="C67" s="21">
        <f>'weekly hours'!C67</f>
        <v>46201</v>
      </c>
      <c r="D67" s="2" t="str">
        <f>IF('weekly hours'!D67=0," ",'weekly hours'!D67/8*'weekly hours'!D$2)</f>
        <v xml:space="preserve"> </v>
      </c>
      <c r="E67" s="2" t="str">
        <f>IF('weekly hours'!E67=0," ",'weekly hours'!E67/8*'weekly hours'!E$2)</f>
        <v xml:space="preserve"> </v>
      </c>
      <c r="F67" s="2" t="str">
        <f>IF('weekly hours'!F67=0," ",'weekly hours'!F67/8*'weekly hours'!F$2)</f>
        <v xml:space="preserve"> </v>
      </c>
      <c r="G67" s="2" t="str">
        <f>IF('weekly hours'!G67=0," ",'weekly hours'!G67/8*'weekly hours'!G$2)</f>
        <v xml:space="preserve"> </v>
      </c>
      <c r="H67" s="2" t="str">
        <f>IF('weekly hours'!H67=0," ",'weekly hours'!H67/8*'weekly hours'!H$2)</f>
        <v xml:space="preserve"> </v>
      </c>
      <c r="I67" s="2" t="str">
        <f>IF('weekly hours'!I67=0," ",'weekly hours'!I67/8*'weekly hours'!I$2)</f>
        <v xml:space="preserve"> </v>
      </c>
      <c r="J67" s="2" t="str">
        <f>IF('weekly hours'!J67=0," ",'weekly hours'!J67/8*'weekly hours'!J$2)</f>
        <v xml:space="preserve"> </v>
      </c>
      <c r="K67" s="2" t="str">
        <f>IF('weekly hours'!K67=0," ",'weekly hours'!K67/8*'weekly hours'!K$2)</f>
        <v xml:space="preserve"> </v>
      </c>
      <c r="L67" s="2" t="str">
        <f>IF('weekly hours'!L67=0," ",'weekly hours'!L67/8*'weekly hours'!L$2)</f>
        <v xml:space="preserve"> </v>
      </c>
      <c r="M67" s="2" t="str">
        <f>IF('weekly hours'!M67=0," ",'weekly hours'!M67/8*'weekly hours'!M$2)</f>
        <v xml:space="preserve"> </v>
      </c>
      <c r="N67" s="2" t="str">
        <f>IF('weekly hours'!N67=0," ",'weekly hours'!N67/8*'weekly hours'!N$2)</f>
        <v xml:space="preserve"> </v>
      </c>
      <c r="O67" s="2" t="str">
        <f>IF('weekly hours'!O67=0," ",'weekly hours'!O67/8*'weekly hours'!O$2)</f>
        <v xml:space="preserve"> </v>
      </c>
      <c r="P67" s="2" t="str">
        <f>IF('weekly hours'!P67=0," ",'weekly hours'!P67/8*'weekly hours'!P$2)</f>
        <v xml:space="preserve"> </v>
      </c>
      <c r="Q67" s="2" t="str">
        <f>IF('weekly hours'!Q67=0," ",'weekly hours'!Q67/8*'weekly hours'!Q$2)</f>
        <v xml:space="preserve"> </v>
      </c>
      <c r="R67" s="2" t="str">
        <f>IF('weekly hours'!R67=0," ",'weekly hours'!R67/8*'weekly hours'!R$2)</f>
        <v xml:space="preserve"> </v>
      </c>
      <c r="S67" s="2" t="str">
        <f>IF('weekly hours'!S67=0," ",'weekly hours'!S67/8*'weekly hours'!S$2)</f>
        <v xml:space="preserve"> </v>
      </c>
      <c r="T67" s="2" t="str">
        <f>IF('weekly hours'!T67=0," ",'weekly hours'!T67/8*'weekly hours'!T$2)</f>
        <v xml:space="preserve"> </v>
      </c>
      <c r="U67" s="2" t="str">
        <f>IF('weekly hours'!U67=0," ",'weekly hours'!U67/8*'weekly hours'!U$2)</f>
        <v xml:space="preserve"> </v>
      </c>
      <c r="V67" s="2" t="str">
        <f>IF('weekly hours'!V67=0," ",'weekly hours'!V67/8*'weekly hours'!V$2)</f>
        <v xml:space="preserve"> </v>
      </c>
      <c r="W67" s="2"/>
    </row>
    <row r="68" spans="1:23" ht="14.25" customHeight="1" x14ac:dyDescent="0.55000000000000004">
      <c r="A68" s="1">
        <f>'weekly hours'!A68</f>
        <v>65</v>
      </c>
      <c r="B68" s="21">
        <f>'weekly hours'!B68</f>
        <v>46202</v>
      </c>
      <c r="C68" s="21">
        <f>'weekly hours'!C68</f>
        <v>46208</v>
      </c>
      <c r="D68" s="2" t="str">
        <f>IF('weekly hours'!D68=0," ",'weekly hours'!D68/8*'weekly hours'!D$2)</f>
        <v xml:space="preserve"> </v>
      </c>
      <c r="E68" s="2" t="str">
        <f>IF('weekly hours'!E68=0," ",'weekly hours'!E68/8*'weekly hours'!E$2)</f>
        <v xml:space="preserve"> </v>
      </c>
      <c r="F68" s="2" t="str">
        <f>IF('weekly hours'!F68=0," ",'weekly hours'!F68/8*'weekly hours'!F$2)</f>
        <v xml:space="preserve"> </v>
      </c>
      <c r="G68" s="2" t="str">
        <f>IF('weekly hours'!G68=0," ",'weekly hours'!G68/8*'weekly hours'!G$2)</f>
        <v xml:space="preserve"> </v>
      </c>
      <c r="H68" s="2" t="str">
        <f>IF('weekly hours'!H68=0," ",'weekly hours'!H68/8*'weekly hours'!H$2)</f>
        <v xml:space="preserve"> </v>
      </c>
      <c r="I68" s="2" t="str">
        <f>IF('weekly hours'!I68=0," ",'weekly hours'!I68/8*'weekly hours'!I$2)</f>
        <v xml:space="preserve"> </v>
      </c>
      <c r="J68" s="2" t="str">
        <f>IF('weekly hours'!J68=0," ",'weekly hours'!J68/8*'weekly hours'!J$2)</f>
        <v xml:space="preserve"> </v>
      </c>
      <c r="K68" s="2" t="str">
        <f>IF('weekly hours'!K68=0," ",'weekly hours'!K68/8*'weekly hours'!K$2)</f>
        <v xml:space="preserve"> </v>
      </c>
      <c r="L68" s="2" t="str">
        <f>IF('weekly hours'!L68=0," ",'weekly hours'!L68/8*'weekly hours'!L$2)</f>
        <v xml:space="preserve"> </v>
      </c>
      <c r="M68" s="2" t="str">
        <f>IF('weekly hours'!M68=0," ",'weekly hours'!M68/8*'weekly hours'!M$2)</f>
        <v xml:space="preserve"> </v>
      </c>
      <c r="N68" s="2" t="str">
        <f>IF('weekly hours'!N68=0," ",'weekly hours'!N68/8*'weekly hours'!N$2)</f>
        <v xml:space="preserve"> </v>
      </c>
      <c r="O68" s="2" t="str">
        <f>IF('weekly hours'!O68=0," ",'weekly hours'!O68/8*'weekly hours'!O$2)</f>
        <v xml:space="preserve"> </v>
      </c>
      <c r="P68" s="2" t="str">
        <f>IF('weekly hours'!P68=0," ",'weekly hours'!P68/8*'weekly hours'!P$2)</f>
        <v xml:space="preserve"> </v>
      </c>
      <c r="Q68" s="2" t="str">
        <f>IF('weekly hours'!Q68=0," ",'weekly hours'!Q68/8*'weekly hours'!Q$2)</f>
        <v xml:space="preserve"> </v>
      </c>
      <c r="R68" s="2" t="str">
        <f>IF('weekly hours'!R68=0," ",'weekly hours'!R68/8*'weekly hours'!R$2)</f>
        <v xml:space="preserve"> </v>
      </c>
      <c r="S68" s="2" t="str">
        <f>IF('weekly hours'!S68=0," ",'weekly hours'!S68/8*'weekly hours'!S$2)</f>
        <v xml:space="preserve"> </v>
      </c>
      <c r="T68" s="2" t="str">
        <f>IF('weekly hours'!T68=0," ",'weekly hours'!T68/8*'weekly hours'!T$2)</f>
        <v xml:space="preserve"> </v>
      </c>
      <c r="U68" s="2" t="str">
        <f>IF('weekly hours'!U68=0," ",'weekly hours'!U68/8*'weekly hours'!U$2)</f>
        <v xml:space="preserve"> </v>
      </c>
      <c r="V68" s="2" t="str">
        <f>IF('weekly hours'!V68=0," ",'weekly hours'!V68/8*'weekly hours'!V$2)</f>
        <v xml:space="preserve"> </v>
      </c>
      <c r="W68" s="2"/>
    </row>
    <row r="69" spans="1:23" ht="14.25" customHeight="1" x14ac:dyDescent="0.55000000000000004">
      <c r="A69" s="1">
        <f>'weekly hours'!A69</f>
        <v>66</v>
      </c>
      <c r="B69" s="21">
        <f>'weekly hours'!B69</f>
        <v>46209</v>
      </c>
      <c r="C69" s="21">
        <f>'weekly hours'!C69</f>
        <v>46215</v>
      </c>
      <c r="D69" s="2" t="str">
        <f>IF('weekly hours'!D69=0," ",'weekly hours'!D69/8*'weekly hours'!D$2)</f>
        <v xml:space="preserve"> </v>
      </c>
      <c r="E69" s="2" t="str">
        <f>IF('weekly hours'!E69=0," ",'weekly hours'!E69/8*'weekly hours'!E$2)</f>
        <v xml:space="preserve"> </v>
      </c>
      <c r="F69" s="2" t="str">
        <f>IF('weekly hours'!F69=0," ",'weekly hours'!F69/8*'weekly hours'!F$2)</f>
        <v xml:space="preserve"> </v>
      </c>
      <c r="G69" s="2" t="str">
        <f>IF('weekly hours'!G69=0," ",'weekly hours'!G69/8*'weekly hours'!G$2)</f>
        <v xml:space="preserve"> </v>
      </c>
      <c r="H69" s="2" t="str">
        <f>IF('weekly hours'!H69=0," ",'weekly hours'!H69/8*'weekly hours'!H$2)</f>
        <v xml:space="preserve"> </v>
      </c>
      <c r="I69" s="2" t="str">
        <f>IF('weekly hours'!I69=0," ",'weekly hours'!I69/8*'weekly hours'!I$2)</f>
        <v xml:space="preserve"> </v>
      </c>
      <c r="J69" s="2" t="str">
        <f>IF('weekly hours'!J69=0," ",'weekly hours'!J69/8*'weekly hours'!J$2)</f>
        <v xml:space="preserve"> </v>
      </c>
      <c r="K69" s="2" t="str">
        <f>IF('weekly hours'!K69=0," ",'weekly hours'!K69/8*'weekly hours'!K$2)</f>
        <v xml:space="preserve"> </v>
      </c>
      <c r="L69" s="2" t="str">
        <f>IF('weekly hours'!L69=0," ",'weekly hours'!L69/8*'weekly hours'!L$2)</f>
        <v xml:space="preserve"> </v>
      </c>
      <c r="M69" s="2" t="str">
        <f>IF('weekly hours'!M69=0," ",'weekly hours'!M69/8*'weekly hours'!M$2)</f>
        <v xml:space="preserve"> </v>
      </c>
      <c r="N69" s="2" t="str">
        <f>IF('weekly hours'!N69=0," ",'weekly hours'!N69/8*'weekly hours'!N$2)</f>
        <v xml:space="preserve"> </v>
      </c>
      <c r="O69" s="2" t="str">
        <f>IF('weekly hours'!O69=0," ",'weekly hours'!O69/8*'weekly hours'!O$2)</f>
        <v xml:space="preserve"> </v>
      </c>
      <c r="P69" s="2" t="str">
        <f>IF('weekly hours'!P69=0," ",'weekly hours'!P69/8*'weekly hours'!P$2)</f>
        <v xml:space="preserve"> </v>
      </c>
      <c r="Q69" s="2" t="str">
        <f>IF('weekly hours'!Q69=0," ",'weekly hours'!Q69/8*'weekly hours'!Q$2)</f>
        <v xml:space="preserve"> </v>
      </c>
      <c r="R69" s="2" t="str">
        <f>IF('weekly hours'!R69=0," ",'weekly hours'!R69/8*'weekly hours'!R$2)</f>
        <v xml:space="preserve"> </v>
      </c>
      <c r="S69" s="2" t="str">
        <f>IF('weekly hours'!S69=0," ",'weekly hours'!S69/8*'weekly hours'!S$2)</f>
        <v xml:space="preserve"> </v>
      </c>
      <c r="T69" s="2" t="str">
        <f>IF('weekly hours'!T69=0," ",'weekly hours'!T69/8*'weekly hours'!T$2)</f>
        <v xml:space="preserve"> </v>
      </c>
      <c r="U69" s="2" t="str">
        <f>IF('weekly hours'!U69=0," ",'weekly hours'!U69/8*'weekly hours'!U$2)</f>
        <v xml:space="preserve"> </v>
      </c>
      <c r="V69" s="2" t="str">
        <f>IF('weekly hours'!V69=0," ",'weekly hours'!V69/8*'weekly hours'!V$2)</f>
        <v xml:space="preserve"> </v>
      </c>
      <c r="W69" s="2"/>
    </row>
    <row r="70" spans="1:23" ht="14.25" customHeight="1" x14ac:dyDescent="0.55000000000000004">
      <c r="A70" s="1">
        <f>'weekly hours'!A70</f>
        <v>67</v>
      </c>
      <c r="B70" s="21">
        <f>'weekly hours'!B70</f>
        <v>46216</v>
      </c>
      <c r="C70" s="21">
        <f>'weekly hours'!C70</f>
        <v>46222</v>
      </c>
      <c r="D70" s="2" t="str">
        <f>IF('weekly hours'!D70=0," ",'weekly hours'!D70/8*'weekly hours'!D$2)</f>
        <v xml:space="preserve"> </v>
      </c>
      <c r="E70" s="2" t="str">
        <f>IF('weekly hours'!E70=0," ",'weekly hours'!E70/8*'weekly hours'!E$2)</f>
        <v xml:space="preserve"> </v>
      </c>
      <c r="F70" s="2" t="str">
        <f>IF('weekly hours'!F70=0," ",'weekly hours'!F70/8*'weekly hours'!F$2)</f>
        <v xml:space="preserve"> </v>
      </c>
      <c r="G70" s="2" t="str">
        <f>IF('weekly hours'!G70=0," ",'weekly hours'!G70/8*'weekly hours'!G$2)</f>
        <v xml:space="preserve"> </v>
      </c>
      <c r="H70" s="2" t="str">
        <f>IF('weekly hours'!H70=0," ",'weekly hours'!H70/8*'weekly hours'!H$2)</f>
        <v xml:space="preserve"> </v>
      </c>
      <c r="I70" s="2" t="str">
        <f>IF('weekly hours'!I70=0," ",'weekly hours'!I70/8*'weekly hours'!I$2)</f>
        <v xml:space="preserve"> </v>
      </c>
      <c r="J70" s="2" t="str">
        <f>IF('weekly hours'!J70=0," ",'weekly hours'!J70/8*'weekly hours'!J$2)</f>
        <v xml:space="preserve"> </v>
      </c>
      <c r="K70" s="2" t="str">
        <f>IF('weekly hours'!K70=0," ",'weekly hours'!K70/8*'weekly hours'!K$2)</f>
        <v xml:space="preserve"> </v>
      </c>
      <c r="L70" s="2" t="str">
        <f>IF('weekly hours'!L70=0," ",'weekly hours'!L70/8*'weekly hours'!L$2)</f>
        <v xml:space="preserve"> </v>
      </c>
      <c r="M70" s="2" t="str">
        <f>IF('weekly hours'!M70=0," ",'weekly hours'!M70/8*'weekly hours'!M$2)</f>
        <v xml:space="preserve"> </v>
      </c>
      <c r="N70" s="2" t="str">
        <f>IF('weekly hours'!N70=0," ",'weekly hours'!N70/8*'weekly hours'!N$2)</f>
        <v xml:space="preserve"> </v>
      </c>
      <c r="O70" s="2" t="str">
        <f>IF('weekly hours'!O70=0," ",'weekly hours'!O70/8*'weekly hours'!O$2)</f>
        <v xml:space="preserve"> </v>
      </c>
      <c r="P70" s="2" t="str">
        <f>IF('weekly hours'!P70=0," ",'weekly hours'!P70/8*'weekly hours'!P$2)</f>
        <v xml:space="preserve"> </v>
      </c>
      <c r="Q70" s="2" t="str">
        <f>IF('weekly hours'!Q70=0," ",'weekly hours'!Q70/8*'weekly hours'!Q$2)</f>
        <v xml:space="preserve"> </v>
      </c>
      <c r="R70" s="2" t="str">
        <f>IF('weekly hours'!R70=0," ",'weekly hours'!R70/8*'weekly hours'!R$2)</f>
        <v xml:space="preserve"> </v>
      </c>
      <c r="S70" s="2" t="str">
        <f>IF('weekly hours'!S70=0," ",'weekly hours'!S70/8*'weekly hours'!S$2)</f>
        <v xml:space="preserve"> </v>
      </c>
      <c r="T70" s="2" t="str">
        <f>IF('weekly hours'!T70=0," ",'weekly hours'!T70/8*'weekly hours'!T$2)</f>
        <v xml:space="preserve"> </v>
      </c>
      <c r="U70" s="2" t="str">
        <f>IF('weekly hours'!U70=0," ",'weekly hours'!U70/8*'weekly hours'!U$2)</f>
        <v xml:space="preserve"> </v>
      </c>
      <c r="V70" s="2" t="str">
        <f>IF('weekly hours'!V70=0," ",'weekly hours'!V70/8*'weekly hours'!V$2)</f>
        <v xml:space="preserve"> </v>
      </c>
      <c r="W70" s="2"/>
    </row>
    <row r="71" spans="1:23" ht="14.25" customHeight="1" x14ac:dyDescent="0.55000000000000004">
      <c r="A71" s="1">
        <f>'weekly hours'!A71</f>
        <v>68</v>
      </c>
      <c r="B71" s="21">
        <f>'weekly hours'!B71</f>
        <v>46223</v>
      </c>
      <c r="C71" s="21">
        <f>'weekly hours'!C71</f>
        <v>46229</v>
      </c>
      <c r="D71" s="2" t="str">
        <f>IF('weekly hours'!D71=0," ",'weekly hours'!D71/8*'weekly hours'!D$2)</f>
        <v xml:space="preserve"> </v>
      </c>
      <c r="E71" s="2" t="str">
        <f>IF('weekly hours'!E71=0," ",'weekly hours'!E71/8*'weekly hours'!E$2)</f>
        <v xml:space="preserve"> </v>
      </c>
      <c r="F71" s="2" t="str">
        <f>IF('weekly hours'!F71=0," ",'weekly hours'!F71/8*'weekly hours'!F$2)</f>
        <v xml:space="preserve"> </v>
      </c>
      <c r="G71" s="2" t="str">
        <f>IF('weekly hours'!G71=0," ",'weekly hours'!G71/8*'weekly hours'!G$2)</f>
        <v xml:space="preserve"> </v>
      </c>
      <c r="H71" s="2" t="str">
        <f>IF('weekly hours'!H71=0," ",'weekly hours'!H71/8*'weekly hours'!H$2)</f>
        <v xml:space="preserve"> </v>
      </c>
      <c r="I71" s="2" t="str">
        <f>IF('weekly hours'!I71=0," ",'weekly hours'!I71/8*'weekly hours'!I$2)</f>
        <v xml:space="preserve"> </v>
      </c>
      <c r="J71" s="2" t="str">
        <f>IF('weekly hours'!J71=0," ",'weekly hours'!J71/8*'weekly hours'!J$2)</f>
        <v xml:space="preserve"> </v>
      </c>
      <c r="K71" s="2" t="str">
        <f>IF('weekly hours'!K71=0," ",'weekly hours'!K71/8*'weekly hours'!K$2)</f>
        <v xml:space="preserve"> </v>
      </c>
      <c r="L71" s="2" t="str">
        <f>IF('weekly hours'!L71=0," ",'weekly hours'!L71/8*'weekly hours'!L$2)</f>
        <v xml:space="preserve"> </v>
      </c>
      <c r="M71" s="2" t="str">
        <f>IF('weekly hours'!M71=0," ",'weekly hours'!M71/8*'weekly hours'!M$2)</f>
        <v xml:space="preserve"> </v>
      </c>
      <c r="N71" s="2" t="str">
        <f>IF('weekly hours'!N71=0," ",'weekly hours'!N71/8*'weekly hours'!N$2)</f>
        <v xml:space="preserve"> </v>
      </c>
      <c r="O71" s="2" t="str">
        <f>IF('weekly hours'!O71=0," ",'weekly hours'!O71/8*'weekly hours'!O$2)</f>
        <v xml:space="preserve"> </v>
      </c>
      <c r="P71" s="2" t="str">
        <f>IF('weekly hours'!P71=0," ",'weekly hours'!P71/8*'weekly hours'!P$2)</f>
        <v xml:space="preserve"> </v>
      </c>
      <c r="Q71" s="2" t="str">
        <f>IF('weekly hours'!Q71=0," ",'weekly hours'!Q71/8*'weekly hours'!Q$2)</f>
        <v xml:space="preserve"> </v>
      </c>
      <c r="R71" s="2" t="str">
        <f>IF('weekly hours'!R71=0," ",'weekly hours'!R71/8*'weekly hours'!R$2)</f>
        <v xml:space="preserve"> </v>
      </c>
      <c r="S71" s="2" t="str">
        <f>IF('weekly hours'!S71=0," ",'weekly hours'!S71/8*'weekly hours'!S$2)</f>
        <v xml:space="preserve"> </v>
      </c>
      <c r="T71" s="2" t="str">
        <f>IF('weekly hours'!T71=0," ",'weekly hours'!T71/8*'weekly hours'!T$2)</f>
        <v xml:space="preserve"> </v>
      </c>
      <c r="U71" s="2" t="str">
        <f>IF('weekly hours'!U71=0," ",'weekly hours'!U71/8*'weekly hours'!U$2)</f>
        <v xml:space="preserve"> </v>
      </c>
      <c r="V71" s="2" t="str">
        <f>IF('weekly hours'!V71=0," ",'weekly hours'!V71/8*'weekly hours'!V$2)</f>
        <v xml:space="preserve"> </v>
      </c>
      <c r="W71" s="2"/>
    </row>
    <row r="72" spans="1:23" ht="14.25" customHeight="1" x14ac:dyDescent="0.55000000000000004">
      <c r="B72" s="21"/>
      <c r="C72" s="21"/>
    </row>
    <row r="73" spans="1:23" ht="14.25" customHeight="1" x14ac:dyDescent="0.55000000000000004">
      <c r="B73" s="21"/>
      <c r="C73" s="21"/>
    </row>
    <row r="74" spans="1:23" ht="14.25" customHeight="1" x14ac:dyDescent="0.55000000000000004">
      <c r="B74" s="21"/>
      <c r="C74" s="21"/>
    </row>
    <row r="75" spans="1:23" ht="14.25" customHeight="1" x14ac:dyDescent="0.55000000000000004">
      <c r="B75" s="21"/>
      <c r="C75" s="21"/>
    </row>
    <row r="76" spans="1:23" ht="14.25" customHeight="1" x14ac:dyDescent="0.55000000000000004">
      <c r="B76" s="21"/>
      <c r="C76" s="21"/>
    </row>
    <row r="77" spans="1:23" ht="14.25" customHeight="1" x14ac:dyDescent="0.55000000000000004">
      <c r="B77" s="21"/>
      <c r="C77" s="21"/>
    </row>
    <row r="78" spans="1:23" ht="14.25" customHeight="1" x14ac:dyDescent="0.55000000000000004">
      <c r="B78" s="21"/>
      <c r="C78" s="21"/>
    </row>
    <row r="79" spans="1:23" ht="14.25" customHeight="1" x14ac:dyDescent="0.55000000000000004">
      <c r="B79" s="21"/>
      <c r="C79" s="21"/>
    </row>
    <row r="80" spans="1:23" ht="14.25" customHeight="1" x14ac:dyDescent="0.55000000000000004">
      <c r="B80" s="21"/>
      <c r="C80" s="21"/>
    </row>
    <row r="81" spans="2:3" ht="14.25" customHeight="1" x14ac:dyDescent="0.55000000000000004">
      <c r="B81" s="21"/>
      <c r="C81" s="21"/>
    </row>
    <row r="82" spans="2:3" ht="14.25" customHeight="1" x14ac:dyDescent="0.55000000000000004">
      <c r="B82" s="21"/>
      <c r="C82" s="21"/>
    </row>
    <row r="83" spans="2:3" ht="14.25" customHeight="1" x14ac:dyDescent="0.55000000000000004">
      <c r="B83" s="21"/>
      <c r="C83" s="21"/>
    </row>
    <row r="84" spans="2:3" ht="14.25" customHeight="1" x14ac:dyDescent="0.55000000000000004">
      <c r="B84" s="21"/>
      <c r="C84" s="21"/>
    </row>
    <row r="85" spans="2:3" ht="14.25" customHeight="1" x14ac:dyDescent="0.55000000000000004">
      <c r="B85" s="21"/>
      <c r="C85" s="21"/>
    </row>
    <row r="86" spans="2:3" ht="14.25" customHeight="1" x14ac:dyDescent="0.55000000000000004">
      <c r="B86" s="21"/>
      <c r="C86" s="21"/>
    </row>
    <row r="87" spans="2:3" ht="14.25" customHeight="1" x14ac:dyDescent="0.55000000000000004">
      <c r="B87" s="21"/>
      <c r="C87" s="21"/>
    </row>
    <row r="88" spans="2:3" ht="14.25" customHeight="1" x14ac:dyDescent="0.55000000000000004">
      <c r="B88" s="21"/>
      <c r="C88" s="21"/>
    </row>
    <row r="89" spans="2:3" ht="14.25" customHeight="1" x14ac:dyDescent="0.55000000000000004">
      <c r="B89" s="21"/>
      <c r="C89" s="21"/>
    </row>
    <row r="90" spans="2:3" ht="14.25" customHeight="1" x14ac:dyDescent="0.55000000000000004">
      <c r="B90" s="21"/>
      <c r="C90" s="21"/>
    </row>
    <row r="91" spans="2:3" ht="14.25" customHeight="1" x14ac:dyDescent="0.55000000000000004">
      <c r="B91" s="21"/>
      <c r="C91" s="21"/>
    </row>
    <row r="92" spans="2:3" ht="14.25" customHeight="1" x14ac:dyDescent="0.55000000000000004">
      <c r="B92" s="21"/>
      <c r="C92" s="21"/>
    </row>
    <row r="93" spans="2:3" ht="14.25" customHeight="1" x14ac:dyDescent="0.55000000000000004">
      <c r="B93" s="21"/>
      <c r="C93" s="21"/>
    </row>
    <row r="94" spans="2:3" ht="14.25" customHeight="1" x14ac:dyDescent="0.55000000000000004">
      <c r="B94" s="21"/>
      <c r="C94" s="21"/>
    </row>
    <row r="95" spans="2:3" ht="14.25" customHeight="1" x14ac:dyDescent="0.55000000000000004">
      <c r="B95" s="21"/>
      <c r="C95" s="21"/>
    </row>
    <row r="96" spans="2:3" ht="14.25" customHeight="1" x14ac:dyDescent="0.55000000000000004">
      <c r="B96" s="21"/>
      <c r="C96" s="21"/>
    </row>
    <row r="97" spans="2:3" ht="14.25" customHeight="1" x14ac:dyDescent="0.55000000000000004">
      <c r="B97" s="21"/>
      <c r="C97" s="21"/>
    </row>
    <row r="98" spans="2:3" ht="14.25" customHeight="1" x14ac:dyDescent="0.55000000000000004">
      <c r="B98" s="21"/>
      <c r="C98" s="21"/>
    </row>
    <row r="99" spans="2:3" ht="14.25" customHeight="1" x14ac:dyDescent="0.55000000000000004">
      <c r="B99" s="21"/>
      <c r="C99" s="21"/>
    </row>
    <row r="100" spans="2:3" ht="14.25" customHeight="1" x14ac:dyDescent="0.55000000000000004">
      <c r="B100" s="21"/>
      <c r="C100" s="21"/>
    </row>
    <row r="101" spans="2:3" ht="14.25" customHeight="1" x14ac:dyDescent="0.55000000000000004">
      <c r="B101" s="21"/>
      <c r="C101" s="21"/>
    </row>
    <row r="102" spans="2:3" ht="14.25" customHeight="1" x14ac:dyDescent="0.55000000000000004">
      <c r="B102" s="21"/>
      <c r="C102" s="21"/>
    </row>
    <row r="103" spans="2:3" ht="14.25" customHeight="1" x14ac:dyDescent="0.55000000000000004">
      <c r="B103" s="21"/>
      <c r="C103" s="21"/>
    </row>
    <row r="104" spans="2:3" ht="14.25" customHeight="1" x14ac:dyDescent="0.55000000000000004">
      <c r="B104" s="21"/>
      <c r="C104" s="21"/>
    </row>
    <row r="105" spans="2:3" ht="14.25" customHeight="1" x14ac:dyDescent="0.55000000000000004">
      <c r="B105" s="21"/>
      <c r="C105" s="21"/>
    </row>
    <row r="106" spans="2:3" ht="14.25" customHeight="1" x14ac:dyDescent="0.55000000000000004">
      <c r="B106" s="21"/>
      <c r="C106" s="21"/>
    </row>
    <row r="107" spans="2:3" ht="14.25" customHeight="1" x14ac:dyDescent="0.55000000000000004">
      <c r="B107" s="21"/>
      <c r="C107" s="21"/>
    </row>
    <row r="108" spans="2:3" ht="14.25" customHeight="1" x14ac:dyDescent="0.55000000000000004">
      <c r="B108" s="21"/>
      <c r="C108" s="21"/>
    </row>
    <row r="109" spans="2:3" ht="14.25" customHeight="1" x14ac:dyDescent="0.55000000000000004">
      <c r="B109" s="21"/>
      <c r="C109" s="21"/>
    </row>
    <row r="110" spans="2:3" ht="14.25" customHeight="1" x14ac:dyDescent="0.55000000000000004">
      <c r="B110" s="21"/>
      <c r="C110" s="21"/>
    </row>
    <row r="111" spans="2:3" ht="14.25" customHeight="1" x14ac:dyDescent="0.55000000000000004">
      <c r="B111" s="21"/>
      <c r="C111" s="21"/>
    </row>
    <row r="112" spans="2:3" ht="14.25" customHeight="1" x14ac:dyDescent="0.55000000000000004">
      <c r="B112" s="21"/>
      <c r="C112" s="21"/>
    </row>
    <row r="113" spans="2:3" ht="14.25" customHeight="1" x14ac:dyDescent="0.55000000000000004">
      <c r="B113" s="21"/>
      <c r="C113" s="21"/>
    </row>
    <row r="114" spans="2:3" ht="14.25" customHeight="1" x14ac:dyDescent="0.55000000000000004">
      <c r="B114" s="21"/>
      <c r="C114" s="21"/>
    </row>
    <row r="115" spans="2:3" ht="14.25" customHeight="1" x14ac:dyDescent="0.55000000000000004">
      <c r="B115" s="21"/>
      <c r="C115" s="21"/>
    </row>
    <row r="116" spans="2:3" ht="14.25" customHeight="1" x14ac:dyDescent="0.55000000000000004">
      <c r="B116" s="21"/>
      <c r="C116" s="21"/>
    </row>
    <row r="117" spans="2:3" ht="14.25" customHeight="1" x14ac:dyDescent="0.55000000000000004">
      <c r="B117" s="21"/>
      <c r="C117" s="21"/>
    </row>
    <row r="118" spans="2:3" ht="14.25" customHeight="1" x14ac:dyDescent="0.55000000000000004">
      <c r="B118" s="21"/>
      <c r="C118" s="21"/>
    </row>
    <row r="119" spans="2:3" ht="14.25" customHeight="1" x14ac:dyDescent="0.55000000000000004">
      <c r="B119" s="21"/>
      <c r="C119" s="21"/>
    </row>
    <row r="120" spans="2:3" ht="14.25" customHeight="1" x14ac:dyDescent="0.55000000000000004">
      <c r="B120" s="21"/>
      <c r="C120" s="21"/>
    </row>
    <row r="121" spans="2:3" ht="14.25" customHeight="1" x14ac:dyDescent="0.55000000000000004">
      <c r="B121" s="21"/>
      <c r="C121" s="21"/>
    </row>
    <row r="122" spans="2:3" ht="14.25" customHeight="1" x14ac:dyDescent="0.55000000000000004">
      <c r="B122" s="21"/>
      <c r="C122" s="21"/>
    </row>
    <row r="123" spans="2:3" ht="14.25" customHeight="1" x14ac:dyDescent="0.55000000000000004">
      <c r="B123" s="21"/>
      <c r="C123" s="21"/>
    </row>
    <row r="124" spans="2:3" ht="14.25" customHeight="1" x14ac:dyDescent="0.55000000000000004">
      <c r="B124" s="21"/>
      <c r="C124" s="21"/>
    </row>
    <row r="125" spans="2:3" ht="14.25" customHeight="1" x14ac:dyDescent="0.55000000000000004">
      <c r="B125" s="21"/>
      <c r="C125" s="21"/>
    </row>
    <row r="126" spans="2:3" ht="14.25" customHeight="1" x14ac:dyDescent="0.55000000000000004">
      <c r="B126" s="21"/>
      <c r="C126" s="21"/>
    </row>
    <row r="127" spans="2:3" ht="14.25" customHeight="1" x14ac:dyDescent="0.55000000000000004">
      <c r="B127" s="21"/>
      <c r="C127" s="21"/>
    </row>
    <row r="128" spans="2:3" ht="14.25" customHeight="1" x14ac:dyDescent="0.55000000000000004">
      <c r="B128" s="21"/>
      <c r="C128" s="21"/>
    </row>
    <row r="129" spans="2:3" ht="14.25" customHeight="1" x14ac:dyDescent="0.55000000000000004">
      <c r="B129" s="21"/>
      <c r="C129" s="21"/>
    </row>
    <row r="130" spans="2:3" ht="14.25" customHeight="1" x14ac:dyDescent="0.55000000000000004">
      <c r="B130" s="21"/>
      <c r="C130" s="21"/>
    </row>
    <row r="131" spans="2:3" ht="14.25" customHeight="1" x14ac:dyDescent="0.55000000000000004">
      <c r="B131" s="21"/>
      <c r="C131" s="21"/>
    </row>
    <row r="132" spans="2:3" ht="14.25" customHeight="1" x14ac:dyDescent="0.55000000000000004">
      <c r="B132" s="21"/>
      <c r="C132" s="21"/>
    </row>
    <row r="133" spans="2:3" ht="14.25" customHeight="1" x14ac:dyDescent="0.55000000000000004">
      <c r="B133" s="21"/>
      <c r="C133" s="21"/>
    </row>
    <row r="134" spans="2:3" ht="14.25" customHeight="1" x14ac:dyDescent="0.55000000000000004">
      <c r="B134" s="21"/>
      <c r="C134" s="21"/>
    </row>
    <row r="135" spans="2:3" ht="14.25" customHeight="1" x14ac:dyDescent="0.55000000000000004">
      <c r="B135" s="21"/>
      <c r="C135" s="21"/>
    </row>
    <row r="136" spans="2:3" ht="14.25" customHeight="1" x14ac:dyDescent="0.55000000000000004">
      <c r="B136" s="21"/>
      <c r="C136" s="21"/>
    </row>
    <row r="137" spans="2:3" ht="14.25" customHeight="1" x14ac:dyDescent="0.55000000000000004">
      <c r="B137" s="21"/>
      <c r="C137" s="21"/>
    </row>
    <row r="138" spans="2:3" ht="14.25" customHeight="1" x14ac:dyDescent="0.55000000000000004">
      <c r="B138" s="21"/>
      <c r="C138" s="21"/>
    </row>
    <row r="139" spans="2:3" ht="14.25" customHeight="1" x14ac:dyDescent="0.55000000000000004">
      <c r="B139" s="21"/>
      <c r="C139" s="21"/>
    </row>
    <row r="140" spans="2:3" ht="14.25" customHeight="1" x14ac:dyDescent="0.55000000000000004">
      <c r="B140" s="21"/>
      <c r="C140" s="21"/>
    </row>
    <row r="141" spans="2:3" ht="14.25" customHeight="1" x14ac:dyDescent="0.55000000000000004">
      <c r="B141" s="21"/>
      <c r="C141" s="21"/>
    </row>
    <row r="142" spans="2:3" ht="14.25" customHeight="1" x14ac:dyDescent="0.55000000000000004">
      <c r="B142" s="21"/>
      <c r="C142" s="21"/>
    </row>
    <row r="143" spans="2:3" ht="14.25" customHeight="1" x14ac:dyDescent="0.55000000000000004">
      <c r="B143" s="21"/>
      <c r="C143" s="21"/>
    </row>
    <row r="144" spans="2:3" ht="14.25" customHeight="1" x14ac:dyDescent="0.55000000000000004">
      <c r="B144" s="21"/>
      <c r="C144" s="21"/>
    </row>
    <row r="145" spans="2:3" ht="14.25" customHeight="1" x14ac:dyDescent="0.55000000000000004">
      <c r="B145" s="21"/>
      <c r="C145" s="21"/>
    </row>
    <row r="146" spans="2:3" ht="14.25" customHeight="1" x14ac:dyDescent="0.55000000000000004">
      <c r="B146" s="21"/>
      <c r="C146" s="21"/>
    </row>
    <row r="147" spans="2:3" ht="14.25" customHeight="1" x14ac:dyDescent="0.55000000000000004">
      <c r="B147" s="21"/>
      <c r="C147" s="21"/>
    </row>
    <row r="148" spans="2:3" ht="14.25" customHeight="1" x14ac:dyDescent="0.55000000000000004">
      <c r="B148" s="21"/>
      <c r="C148" s="21"/>
    </row>
    <row r="149" spans="2:3" ht="14.25" customHeight="1" x14ac:dyDescent="0.55000000000000004">
      <c r="B149" s="21"/>
      <c r="C149" s="21"/>
    </row>
    <row r="150" spans="2:3" ht="14.25" customHeight="1" x14ac:dyDescent="0.55000000000000004">
      <c r="B150" s="21"/>
      <c r="C150" s="21"/>
    </row>
    <row r="151" spans="2:3" ht="14.25" customHeight="1" x14ac:dyDescent="0.55000000000000004">
      <c r="B151" s="21"/>
      <c r="C151" s="21"/>
    </row>
    <row r="152" spans="2:3" ht="14.25" customHeight="1" x14ac:dyDescent="0.55000000000000004">
      <c r="B152" s="21"/>
      <c r="C152" s="21"/>
    </row>
    <row r="153" spans="2:3" ht="14.25" customHeight="1" x14ac:dyDescent="0.55000000000000004">
      <c r="B153" s="21"/>
      <c r="C153" s="21"/>
    </row>
    <row r="154" spans="2:3" ht="14.25" customHeight="1" x14ac:dyDescent="0.55000000000000004">
      <c r="B154" s="21"/>
      <c r="C154" s="21"/>
    </row>
    <row r="155" spans="2:3" ht="14.25" customHeight="1" x14ac:dyDescent="0.55000000000000004">
      <c r="B155" s="21"/>
      <c r="C155" s="21"/>
    </row>
    <row r="156" spans="2:3" ht="14.25" customHeight="1" x14ac:dyDescent="0.55000000000000004">
      <c r="B156" s="21"/>
      <c r="C156" s="21"/>
    </row>
    <row r="157" spans="2:3" ht="14.25" customHeight="1" x14ac:dyDescent="0.55000000000000004">
      <c r="B157" s="21"/>
      <c r="C157" s="21"/>
    </row>
    <row r="158" spans="2:3" ht="14.25" customHeight="1" x14ac:dyDescent="0.55000000000000004">
      <c r="B158" s="21"/>
      <c r="C158" s="21"/>
    </row>
    <row r="159" spans="2:3" ht="14.25" customHeight="1" x14ac:dyDescent="0.55000000000000004">
      <c r="B159" s="21"/>
      <c r="C159" s="21"/>
    </row>
    <row r="160" spans="2:3" ht="14.25" customHeight="1" x14ac:dyDescent="0.55000000000000004">
      <c r="B160" s="21"/>
      <c r="C160" s="21"/>
    </row>
    <row r="161" spans="2:3" ht="14.25" customHeight="1" x14ac:dyDescent="0.55000000000000004">
      <c r="B161" s="21"/>
      <c r="C161" s="21"/>
    </row>
    <row r="162" spans="2:3" ht="14.25" customHeight="1" x14ac:dyDescent="0.55000000000000004">
      <c r="B162" s="21"/>
      <c r="C162" s="21"/>
    </row>
    <row r="163" spans="2:3" ht="14.25" customHeight="1" x14ac:dyDescent="0.55000000000000004">
      <c r="B163" s="21"/>
      <c r="C163" s="21"/>
    </row>
    <row r="164" spans="2:3" ht="14.25" customHeight="1" x14ac:dyDescent="0.55000000000000004">
      <c r="B164" s="21"/>
      <c r="C164" s="21"/>
    </row>
    <row r="165" spans="2:3" ht="14.25" customHeight="1" x14ac:dyDescent="0.55000000000000004">
      <c r="B165" s="21"/>
      <c r="C165" s="21"/>
    </row>
    <row r="166" spans="2:3" ht="14.25" customHeight="1" x14ac:dyDescent="0.55000000000000004">
      <c r="B166" s="21"/>
      <c r="C166" s="21"/>
    </row>
    <row r="167" spans="2:3" ht="14.25" customHeight="1" x14ac:dyDescent="0.55000000000000004">
      <c r="B167" s="21"/>
      <c r="C167" s="21"/>
    </row>
    <row r="168" spans="2:3" ht="14.25" customHeight="1" x14ac:dyDescent="0.55000000000000004">
      <c r="B168" s="21"/>
      <c r="C168" s="21"/>
    </row>
    <row r="169" spans="2:3" ht="14.25" customHeight="1" x14ac:dyDescent="0.55000000000000004">
      <c r="B169" s="21"/>
      <c r="C169" s="21"/>
    </row>
    <row r="170" spans="2:3" ht="14.25" customHeight="1" x14ac:dyDescent="0.55000000000000004">
      <c r="B170" s="21"/>
      <c r="C170" s="21"/>
    </row>
    <row r="171" spans="2:3" ht="14.25" customHeight="1" x14ac:dyDescent="0.55000000000000004">
      <c r="B171" s="21"/>
      <c r="C171" s="21"/>
    </row>
    <row r="172" spans="2:3" ht="14.25" customHeight="1" x14ac:dyDescent="0.55000000000000004">
      <c r="B172" s="21"/>
      <c r="C172" s="21"/>
    </row>
    <row r="173" spans="2:3" ht="14.25" customHeight="1" x14ac:dyDescent="0.55000000000000004">
      <c r="B173" s="21"/>
      <c r="C173" s="21"/>
    </row>
    <row r="174" spans="2:3" ht="14.25" customHeight="1" x14ac:dyDescent="0.55000000000000004">
      <c r="B174" s="21"/>
      <c r="C174" s="21"/>
    </row>
    <row r="175" spans="2:3" ht="14.25" customHeight="1" x14ac:dyDescent="0.55000000000000004">
      <c r="B175" s="21"/>
      <c r="C175" s="21"/>
    </row>
    <row r="176" spans="2:3" ht="14.25" customHeight="1" x14ac:dyDescent="0.55000000000000004">
      <c r="B176" s="21"/>
      <c r="C176" s="21"/>
    </row>
    <row r="177" spans="2:3" ht="14.25" customHeight="1" x14ac:dyDescent="0.55000000000000004">
      <c r="B177" s="21"/>
      <c r="C177" s="21"/>
    </row>
    <row r="178" spans="2:3" ht="14.25" customHeight="1" x14ac:dyDescent="0.55000000000000004">
      <c r="B178" s="21"/>
      <c r="C178" s="21"/>
    </row>
    <row r="179" spans="2:3" ht="14.25" customHeight="1" x14ac:dyDescent="0.55000000000000004">
      <c r="B179" s="21"/>
      <c r="C179" s="21"/>
    </row>
    <row r="180" spans="2:3" ht="14.25" customHeight="1" x14ac:dyDescent="0.55000000000000004">
      <c r="B180" s="21"/>
      <c r="C180" s="21"/>
    </row>
    <row r="181" spans="2:3" ht="14.25" customHeight="1" x14ac:dyDescent="0.55000000000000004">
      <c r="B181" s="21"/>
      <c r="C181" s="21"/>
    </row>
    <row r="182" spans="2:3" ht="14.25" customHeight="1" x14ac:dyDescent="0.55000000000000004">
      <c r="B182" s="21"/>
      <c r="C182" s="21"/>
    </row>
    <row r="183" spans="2:3" ht="14.25" customHeight="1" x14ac:dyDescent="0.55000000000000004">
      <c r="B183" s="21"/>
      <c r="C183" s="21"/>
    </row>
    <row r="184" spans="2:3" ht="14.25" customHeight="1" x14ac:dyDescent="0.55000000000000004">
      <c r="B184" s="21"/>
      <c r="C184" s="21"/>
    </row>
    <row r="185" spans="2:3" ht="14.25" customHeight="1" x14ac:dyDescent="0.55000000000000004">
      <c r="B185" s="21"/>
      <c r="C185" s="21"/>
    </row>
    <row r="186" spans="2:3" ht="14.25" customHeight="1" x14ac:dyDescent="0.55000000000000004">
      <c r="B186" s="21"/>
      <c r="C186" s="21"/>
    </row>
    <row r="187" spans="2:3" ht="14.25" customHeight="1" x14ac:dyDescent="0.55000000000000004">
      <c r="B187" s="21"/>
      <c r="C187" s="21"/>
    </row>
    <row r="188" spans="2:3" ht="14.25" customHeight="1" x14ac:dyDescent="0.55000000000000004">
      <c r="B188" s="21"/>
      <c r="C188" s="21"/>
    </row>
    <row r="189" spans="2:3" ht="14.25" customHeight="1" x14ac:dyDescent="0.55000000000000004">
      <c r="B189" s="21"/>
      <c r="C189" s="21"/>
    </row>
    <row r="190" spans="2:3" ht="14.25" customHeight="1" x14ac:dyDescent="0.55000000000000004">
      <c r="B190" s="21"/>
      <c r="C190" s="21"/>
    </row>
    <row r="191" spans="2:3" ht="14.25" customHeight="1" x14ac:dyDescent="0.55000000000000004">
      <c r="B191" s="21"/>
      <c r="C191" s="21"/>
    </row>
    <row r="192" spans="2:3" ht="14.25" customHeight="1" x14ac:dyDescent="0.55000000000000004">
      <c r="B192" s="21"/>
      <c r="C192" s="21"/>
    </row>
    <row r="193" spans="2:3" ht="14.25" customHeight="1" x14ac:dyDescent="0.55000000000000004">
      <c r="B193" s="21"/>
      <c r="C193" s="21"/>
    </row>
    <row r="194" spans="2:3" ht="14.25" customHeight="1" x14ac:dyDescent="0.55000000000000004">
      <c r="B194" s="21"/>
      <c r="C194" s="21"/>
    </row>
    <row r="195" spans="2:3" ht="14.25" customHeight="1" x14ac:dyDescent="0.55000000000000004">
      <c r="B195" s="21"/>
      <c r="C195" s="21"/>
    </row>
    <row r="196" spans="2:3" ht="14.25" customHeight="1" x14ac:dyDescent="0.55000000000000004">
      <c r="B196" s="21"/>
      <c r="C196" s="21"/>
    </row>
    <row r="197" spans="2:3" ht="14.25" customHeight="1" x14ac:dyDescent="0.55000000000000004">
      <c r="B197" s="21"/>
      <c r="C197" s="21"/>
    </row>
    <row r="198" spans="2:3" ht="14.25" customHeight="1" x14ac:dyDescent="0.55000000000000004">
      <c r="B198" s="21"/>
      <c r="C198" s="21"/>
    </row>
    <row r="199" spans="2:3" ht="14.25" customHeight="1" x14ac:dyDescent="0.55000000000000004">
      <c r="B199" s="21"/>
      <c r="C199" s="21"/>
    </row>
    <row r="200" spans="2:3" ht="14.25" customHeight="1" x14ac:dyDescent="0.55000000000000004">
      <c r="B200" s="21"/>
      <c r="C200" s="21"/>
    </row>
    <row r="201" spans="2:3" ht="14.25" customHeight="1" x14ac:dyDescent="0.55000000000000004">
      <c r="B201" s="21"/>
      <c r="C201" s="21"/>
    </row>
    <row r="202" spans="2:3" ht="14.25" customHeight="1" x14ac:dyDescent="0.55000000000000004">
      <c r="B202" s="21"/>
      <c r="C202" s="21"/>
    </row>
    <row r="203" spans="2:3" ht="14.25" customHeight="1" x14ac:dyDescent="0.55000000000000004">
      <c r="B203" s="21"/>
      <c r="C203" s="21"/>
    </row>
    <row r="204" spans="2:3" ht="14.25" customHeight="1" x14ac:dyDescent="0.55000000000000004">
      <c r="B204" s="21"/>
      <c r="C204" s="21"/>
    </row>
    <row r="205" spans="2:3" ht="14.25" customHeight="1" x14ac:dyDescent="0.55000000000000004">
      <c r="B205" s="21"/>
      <c r="C205" s="21"/>
    </row>
    <row r="206" spans="2:3" ht="14.25" customHeight="1" x14ac:dyDescent="0.55000000000000004">
      <c r="B206" s="21"/>
      <c r="C206" s="21"/>
    </row>
    <row r="207" spans="2:3" ht="14.25" customHeight="1" x14ac:dyDescent="0.55000000000000004">
      <c r="B207" s="21"/>
      <c r="C207" s="21"/>
    </row>
    <row r="208" spans="2:3" ht="14.25" customHeight="1" x14ac:dyDescent="0.55000000000000004">
      <c r="B208" s="21"/>
      <c r="C208" s="21"/>
    </row>
    <row r="209" spans="2:3" ht="14.25" customHeight="1" x14ac:dyDescent="0.55000000000000004">
      <c r="B209" s="21"/>
      <c r="C209" s="21"/>
    </row>
    <row r="210" spans="2:3" ht="14.25" customHeight="1" x14ac:dyDescent="0.55000000000000004">
      <c r="B210" s="21"/>
      <c r="C210" s="21"/>
    </row>
    <row r="211" spans="2:3" ht="14.25" customHeight="1" x14ac:dyDescent="0.55000000000000004">
      <c r="B211" s="21"/>
      <c r="C211" s="21"/>
    </row>
    <row r="212" spans="2:3" ht="14.25" customHeight="1" x14ac:dyDescent="0.55000000000000004">
      <c r="B212" s="21"/>
      <c r="C212" s="21"/>
    </row>
    <row r="213" spans="2:3" ht="14.25" customHeight="1" x14ac:dyDescent="0.55000000000000004">
      <c r="B213" s="21"/>
      <c r="C213" s="21"/>
    </row>
    <row r="214" spans="2:3" ht="14.25" customHeight="1" x14ac:dyDescent="0.55000000000000004">
      <c r="B214" s="21"/>
      <c r="C214" s="21"/>
    </row>
    <row r="215" spans="2:3" ht="14.25" customHeight="1" x14ac:dyDescent="0.55000000000000004">
      <c r="B215" s="21"/>
      <c r="C215" s="21"/>
    </row>
    <row r="216" spans="2:3" ht="14.25" customHeight="1" x14ac:dyDescent="0.55000000000000004">
      <c r="B216" s="21"/>
      <c r="C216" s="21"/>
    </row>
    <row r="217" spans="2:3" ht="14.25" customHeight="1" x14ac:dyDescent="0.55000000000000004">
      <c r="B217" s="21"/>
      <c r="C217" s="21"/>
    </row>
    <row r="218" spans="2:3" ht="14.25" customHeight="1" x14ac:dyDescent="0.55000000000000004">
      <c r="B218" s="21"/>
      <c r="C218" s="21"/>
    </row>
    <row r="219" spans="2:3" ht="14.25" customHeight="1" x14ac:dyDescent="0.55000000000000004">
      <c r="B219" s="21"/>
      <c r="C219" s="21"/>
    </row>
    <row r="220" spans="2:3" ht="14.25" customHeight="1" x14ac:dyDescent="0.55000000000000004">
      <c r="B220" s="21"/>
      <c r="C220" s="21"/>
    </row>
    <row r="221" spans="2:3" ht="14.25" customHeight="1" x14ac:dyDescent="0.55000000000000004">
      <c r="B221" s="21"/>
      <c r="C221" s="21"/>
    </row>
    <row r="222" spans="2:3" ht="14.25" customHeight="1" x14ac:dyDescent="0.55000000000000004">
      <c r="B222" s="21"/>
      <c r="C222" s="21"/>
    </row>
    <row r="223" spans="2:3" ht="14.25" customHeight="1" x14ac:dyDescent="0.55000000000000004">
      <c r="B223" s="21"/>
      <c r="C223" s="21"/>
    </row>
    <row r="224" spans="2:3" ht="14.25" customHeight="1" x14ac:dyDescent="0.55000000000000004">
      <c r="B224" s="21"/>
      <c r="C224" s="21"/>
    </row>
    <row r="225" spans="2:3" ht="14.25" customHeight="1" x14ac:dyDescent="0.55000000000000004">
      <c r="B225" s="21"/>
      <c r="C225" s="21"/>
    </row>
    <row r="226" spans="2:3" ht="14.25" customHeight="1" x14ac:dyDescent="0.55000000000000004">
      <c r="B226" s="21"/>
      <c r="C226" s="21"/>
    </row>
    <row r="227" spans="2:3" ht="14.25" customHeight="1" x14ac:dyDescent="0.55000000000000004">
      <c r="B227" s="21"/>
      <c r="C227" s="21"/>
    </row>
    <row r="228" spans="2:3" ht="14.25" customHeight="1" x14ac:dyDescent="0.55000000000000004">
      <c r="B228" s="21"/>
      <c r="C228" s="21"/>
    </row>
    <row r="229" spans="2:3" ht="14.25" customHeight="1" x14ac:dyDescent="0.55000000000000004">
      <c r="B229" s="21"/>
      <c r="C229" s="21"/>
    </row>
    <row r="230" spans="2:3" ht="14.25" customHeight="1" x14ac:dyDescent="0.55000000000000004">
      <c r="B230" s="21"/>
      <c r="C230" s="21"/>
    </row>
    <row r="231" spans="2:3" ht="14.25" customHeight="1" x14ac:dyDescent="0.55000000000000004">
      <c r="B231" s="21"/>
      <c r="C231" s="21"/>
    </row>
    <row r="232" spans="2:3" ht="14.25" customHeight="1" x14ac:dyDescent="0.55000000000000004">
      <c r="B232" s="21"/>
      <c r="C232" s="21"/>
    </row>
    <row r="233" spans="2:3" ht="14.25" customHeight="1" x14ac:dyDescent="0.55000000000000004">
      <c r="B233" s="21"/>
      <c r="C233" s="21"/>
    </row>
    <row r="234" spans="2:3" ht="14.25" customHeight="1" x14ac:dyDescent="0.55000000000000004">
      <c r="B234" s="21"/>
      <c r="C234" s="21"/>
    </row>
    <row r="235" spans="2:3" ht="14.25" customHeight="1" x14ac:dyDescent="0.55000000000000004">
      <c r="B235" s="21"/>
      <c r="C235" s="21"/>
    </row>
    <row r="236" spans="2:3" ht="14.25" customHeight="1" x14ac:dyDescent="0.55000000000000004">
      <c r="B236" s="21"/>
      <c r="C236" s="21"/>
    </row>
    <row r="237" spans="2:3" ht="14.25" customHeight="1" x14ac:dyDescent="0.55000000000000004">
      <c r="B237" s="21"/>
      <c r="C237" s="21"/>
    </row>
    <row r="238" spans="2:3" ht="14.25" customHeight="1" x14ac:dyDescent="0.55000000000000004">
      <c r="B238" s="21"/>
      <c r="C238" s="21"/>
    </row>
    <row r="239" spans="2:3" ht="14.25" customHeight="1" x14ac:dyDescent="0.55000000000000004">
      <c r="B239" s="21"/>
      <c r="C239" s="21"/>
    </row>
    <row r="240" spans="2:3" ht="14.25" customHeight="1" x14ac:dyDescent="0.55000000000000004">
      <c r="B240" s="21"/>
      <c r="C240" s="21"/>
    </row>
    <row r="241" spans="2:3" ht="14.25" customHeight="1" x14ac:dyDescent="0.55000000000000004">
      <c r="B241" s="21"/>
      <c r="C241" s="21"/>
    </row>
    <row r="242" spans="2:3" ht="14.25" customHeight="1" x14ac:dyDescent="0.55000000000000004">
      <c r="B242" s="21"/>
      <c r="C242" s="21"/>
    </row>
    <row r="243" spans="2:3" ht="14.25" customHeight="1" x14ac:dyDescent="0.55000000000000004">
      <c r="B243" s="21"/>
      <c r="C243" s="21"/>
    </row>
    <row r="244" spans="2:3" ht="14.25" customHeight="1" x14ac:dyDescent="0.55000000000000004">
      <c r="B244" s="21"/>
      <c r="C244" s="21"/>
    </row>
    <row r="245" spans="2:3" ht="14.25" customHeight="1" x14ac:dyDescent="0.55000000000000004">
      <c r="B245" s="21"/>
      <c r="C245" s="21"/>
    </row>
    <row r="246" spans="2:3" ht="14.25" customHeight="1" x14ac:dyDescent="0.55000000000000004">
      <c r="B246" s="21"/>
      <c r="C246" s="21"/>
    </row>
    <row r="247" spans="2:3" ht="14.25" customHeight="1" x14ac:dyDescent="0.55000000000000004">
      <c r="B247" s="21"/>
      <c r="C247" s="21"/>
    </row>
    <row r="248" spans="2:3" ht="14.25" customHeight="1" x14ac:dyDescent="0.55000000000000004">
      <c r="B248" s="21"/>
      <c r="C248" s="21"/>
    </row>
    <row r="249" spans="2:3" ht="14.25" customHeight="1" x14ac:dyDescent="0.55000000000000004">
      <c r="B249" s="21"/>
      <c r="C249" s="21"/>
    </row>
    <row r="250" spans="2:3" ht="14.25" customHeight="1" x14ac:dyDescent="0.55000000000000004">
      <c r="B250" s="21"/>
      <c r="C250" s="21"/>
    </row>
    <row r="251" spans="2:3" ht="14.25" customHeight="1" x14ac:dyDescent="0.55000000000000004">
      <c r="B251" s="21"/>
      <c r="C251" s="21"/>
    </row>
    <row r="252" spans="2:3" ht="14.25" customHeight="1" x14ac:dyDescent="0.55000000000000004">
      <c r="B252" s="21"/>
      <c r="C252" s="21"/>
    </row>
    <row r="253" spans="2:3" ht="14.25" customHeight="1" x14ac:dyDescent="0.55000000000000004">
      <c r="B253" s="21"/>
      <c r="C253" s="21"/>
    </row>
    <row r="254" spans="2:3" ht="14.25" customHeight="1" x14ac:dyDescent="0.55000000000000004">
      <c r="B254" s="21"/>
      <c r="C254" s="21"/>
    </row>
    <row r="255" spans="2:3" ht="14.25" customHeight="1" x14ac:dyDescent="0.55000000000000004">
      <c r="B255" s="21"/>
      <c r="C255" s="21"/>
    </row>
    <row r="256" spans="2:3" ht="14.25" customHeight="1" x14ac:dyDescent="0.55000000000000004">
      <c r="B256" s="21"/>
      <c r="C256" s="21"/>
    </row>
    <row r="257" spans="2:3" ht="14.25" customHeight="1" x14ac:dyDescent="0.55000000000000004">
      <c r="B257" s="21"/>
      <c r="C257" s="21"/>
    </row>
    <row r="258" spans="2:3" ht="14.25" customHeight="1" x14ac:dyDescent="0.55000000000000004">
      <c r="B258" s="21"/>
      <c r="C258" s="21"/>
    </row>
    <row r="259" spans="2:3" ht="14.25" customHeight="1" x14ac:dyDescent="0.55000000000000004">
      <c r="B259" s="21"/>
      <c r="C259" s="21"/>
    </row>
    <row r="260" spans="2:3" ht="14.25" customHeight="1" x14ac:dyDescent="0.55000000000000004">
      <c r="B260" s="21"/>
      <c r="C260" s="21"/>
    </row>
    <row r="261" spans="2:3" ht="14.25" customHeight="1" x14ac:dyDescent="0.55000000000000004">
      <c r="B261" s="21"/>
      <c r="C261" s="21"/>
    </row>
    <row r="262" spans="2:3" ht="14.25" customHeight="1" x14ac:dyDescent="0.55000000000000004">
      <c r="B262" s="21"/>
      <c r="C262" s="21"/>
    </row>
    <row r="263" spans="2:3" ht="14.25" customHeight="1" x14ac:dyDescent="0.55000000000000004">
      <c r="B263" s="21"/>
      <c r="C263" s="21"/>
    </row>
    <row r="264" spans="2:3" ht="14.25" customHeight="1" x14ac:dyDescent="0.55000000000000004">
      <c r="B264" s="21"/>
      <c r="C264" s="21"/>
    </row>
    <row r="265" spans="2:3" ht="14.25" customHeight="1" x14ac:dyDescent="0.55000000000000004">
      <c r="B265" s="21"/>
      <c r="C265" s="21"/>
    </row>
    <row r="266" spans="2:3" ht="14.25" customHeight="1" x14ac:dyDescent="0.55000000000000004">
      <c r="B266" s="21"/>
      <c r="C266" s="21"/>
    </row>
    <row r="267" spans="2:3" ht="14.25" customHeight="1" x14ac:dyDescent="0.55000000000000004">
      <c r="B267" s="21"/>
      <c r="C267" s="21"/>
    </row>
    <row r="268" spans="2:3" ht="14.25" customHeight="1" x14ac:dyDescent="0.55000000000000004">
      <c r="B268" s="21"/>
      <c r="C268" s="21"/>
    </row>
    <row r="269" spans="2:3" ht="14.25" customHeight="1" x14ac:dyDescent="0.55000000000000004">
      <c r="B269" s="21"/>
      <c r="C269" s="21"/>
    </row>
    <row r="270" spans="2:3" ht="14.25" customHeight="1" x14ac:dyDescent="0.55000000000000004">
      <c r="B270" s="21"/>
      <c r="C270" s="21"/>
    </row>
    <row r="271" spans="2:3" ht="14.25" customHeight="1" x14ac:dyDescent="0.55000000000000004">
      <c r="B271" s="21"/>
      <c r="C271" s="21"/>
    </row>
    <row r="272" spans="2:3" ht="14.25" customHeight="1" x14ac:dyDescent="0.55000000000000004">
      <c r="B272" s="21"/>
      <c r="C272" s="21"/>
    </row>
    <row r="273" spans="2:3" ht="14.25" customHeight="1" x14ac:dyDescent="0.55000000000000004">
      <c r="B273" s="21"/>
      <c r="C273" s="21"/>
    </row>
    <row r="274" spans="2:3" ht="14.25" customHeight="1" x14ac:dyDescent="0.55000000000000004">
      <c r="B274" s="21"/>
      <c r="C274" s="21"/>
    </row>
    <row r="275" spans="2:3" ht="14.25" customHeight="1" x14ac:dyDescent="0.55000000000000004">
      <c r="B275" s="21"/>
      <c r="C275" s="21"/>
    </row>
    <row r="276" spans="2:3" ht="14.25" customHeight="1" x14ac:dyDescent="0.55000000000000004">
      <c r="B276" s="21"/>
      <c r="C276" s="21"/>
    </row>
    <row r="277" spans="2:3" ht="14.25" customHeight="1" x14ac:dyDescent="0.55000000000000004">
      <c r="B277" s="21"/>
      <c r="C277" s="21"/>
    </row>
    <row r="278" spans="2:3" ht="14.25" customHeight="1" x14ac:dyDescent="0.55000000000000004">
      <c r="B278" s="21"/>
      <c r="C278" s="21"/>
    </row>
    <row r="279" spans="2:3" ht="14.25" customHeight="1" x14ac:dyDescent="0.55000000000000004">
      <c r="B279" s="21"/>
      <c r="C279" s="21"/>
    </row>
    <row r="280" spans="2:3" ht="14.25" customHeight="1" x14ac:dyDescent="0.55000000000000004">
      <c r="B280" s="21"/>
      <c r="C280" s="21"/>
    </row>
    <row r="281" spans="2:3" ht="14.25" customHeight="1" x14ac:dyDescent="0.55000000000000004">
      <c r="B281" s="21"/>
      <c r="C281" s="21"/>
    </row>
    <row r="282" spans="2:3" ht="14.25" customHeight="1" x14ac:dyDescent="0.55000000000000004">
      <c r="B282" s="21"/>
      <c r="C282" s="21"/>
    </row>
    <row r="283" spans="2:3" ht="14.25" customHeight="1" x14ac:dyDescent="0.55000000000000004">
      <c r="B283" s="21"/>
      <c r="C283" s="21"/>
    </row>
    <row r="284" spans="2:3" ht="14.25" customHeight="1" x14ac:dyDescent="0.55000000000000004">
      <c r="B284" s="21"/>
      <c r="C284" s="21"/>
    </row>
    <row r="285" spans="2:3" ht="14.25" customHeight="1" x14ac:dyDescent="0.55000000000000004">
      <c r="B285" s="21"/>
      <c r="C285" s="21"/>
    </row>
    <row r="286" spans="2:3" ht="14.25" customHeight="1" x14ac:dyDescent="0.55000000000000004">
      <c r="B286" s="21"/>
      <c r="C286" s="21"/>
    </row>
    <row r="287" spans="2:3" ht="14.25" customHeight="1" x14ac:dyDescent="0.55000000000000004">
      <c r="B287" s="21"/>
      <c r="C287" s="21"/>
    </row>
    <row r="288" spans="2:3" ht="14.25" customHeight="1" x14ac:dyDescent="0.55000000000000004">
      <c r="B288" s="21"/>
      <c r="C288" s="21"/>
    </row>
    <row r="289" spans="2:3" ht="14.25" customHeight="1" x14ac:dyDescent="0.55000000000000004">
      <c r="B289" s="21"/>
      <c r="C289" s="21"/>
    </row>
    <row r="290" spans="2:3" ht="14.25" customHeight="1" x14ac:dyDescent="0.55000000000000004">
      <c r="B290" s="21"/>
      <c r="C290" s="21"/>
    </row>
    <row r="291" spans="2:3" ht="14.25" customHeight="1" x14ac:dyDescent="0.55000000000000004">
      <c r="B291" s="21"/>
      <c r="C291" s="21"/>
    </row>
    <row r="292" spans="2:3" ht="14.25" customHeight="1" x14ac:dyDescent="0.55000000000000004">
      <c r="B292" s="21"/>
      <c r="C292" s="21"/>
    </row>
    <row r="293" spans="2:3" ht="14.25" customHeight="1" x14ac:dyDescent="0.55000000000000004">
      <c r="B293" s="21"/>
      <c r="C293" s="21"/>
    </row>
    <row r="294" spans="2:3" ht="14.25" customHeight="1" x14ac:dyDescent="0.55000000000000004">
      <c r="B294" s="21"/>
      <c r="C294" s="21"/>
    </row>
    <row r="295" spans="2:3" ht="14.25" customHeight="1" x14ac:dyDescent="0.55000000000000004">
      <c r="B295" s="21"/>
      <c r="C295" s="21"/>
    </row>
    <row r="296" spans="2:3" ht="14.25" customHeight="1" x14ac:dyDescent="0.55000000000000004">
      <c r="B296" s="21"/>
      <c r="C296" s="21"/>
    </row>
    <row r="297" spans="2:3" ht="14.25" customHeight="1" x14ac:dyDescent="0.55000000000000004">
      <c r="B297" s="21"/>
      <c r="C297" s="21"/>
    </row>
    <row r="298" spans="2:3" ht="14.25" customHeight="1" x14ac:dyDescent="0.55000000000000004">
      <c r="B298" s="21"/>
      <c r="C298" s="21"/>
    </row>
    <row r="299" spans="2:3" ht="14.25" customHeight="1" x14ac:dyDescent="0.55000000000000004">
      <c r="B299" s="21"/>
      <c r="C299" s="21"/>
    </row>
    <row r="300" spans="2:3" ht="14.25" customHeight="1" x14ac:dyDescent="0.55000000000000004">
      <c r="B300" s="21"/>
      <c r="C300" s="21"/>
    </row>
    <row r="301" spans="2:3" ht="14.25" customHeight="1" x14ac:dyDescent="0.55000000000000004">
      <c r="B301" s="21"/>
      <c r="C301" s="21"/>
    </row>
    <row r="302" spans="2:3" ht="14.25" customHeight="1" x14ac:dyDescent="0.55000000000000004">
      <c r="B302" s="21"/>
      <c r="C302" s="21"/>
    </row>
    <row r="303" spans="2:3" ht="14.25" customHeight="1" x14ac:dyDescent="0.55000000000000004">
      <c r="B303" s="21"/>
      <c r="C303" s="21"/>
    </row>
    <row r="304" spans="2:3" ht="14.25" customHeight="1" x14ac:dyDescent="0.55000000000000004">
      <c r="B304" s="21"/>
      <c r="C304" s="21"/>
    </row>
    <row r="305" spans="2:3" ht="14.25" customHeight="1" x14ac:dyDescent="0.55000000000000004">
      <c r="B305" s="21"/>
      <c r="C305" s="21"/>
    </row>
    <row r="306" spans="2:3" ht="14.25" customHeight="1" x14ac:dyDescent="0.55000000000000004">
      <c r="B306" s="21"/>
      <c r="C306" s="21"/>
    </row>
    <row r="307" spans="2:3" ht="14.25" customHeight="1" x14ac:dyDescent="0.55000000000000004">
      <c r="B307" s="21"/>
      <c r="C307" s="21"/>
    </row>
    <row r="308" spans="2:3" ht="14.25" customHeight="1" x14ac:dyDescent="0.55000000000000004">
      <c r="B308" s="21"/>
      <c r="C308" s="21"/>
    </row>
    <row r="309" spans="2:3" ht="14.25" customHeight="1" x14ac:dyDescent="0.55000000000000004">
      <c r="B309" s="21"/>
      <c r="C309" s="21"/>
    </row>
    <row r="310" spans="2:3" ht="14.25" customHeight="1" x14ac:dyDescent="0.55000000000000004">
      <c r="B310" s="21"/>
      <c r="C310" s="21"/>
    </row>
    <row r="311" spans="2:3" ht="14.25" customHeight="1" x14ac:dyDescent="0.55000000000000004">
      <c r="B311" s="21"/>
      <c r="C311" s="21"/>
    </row>
    <row r="312" spans="2:3" ht="14.25" customHeight="1" x14ac:dyDescent="0.55000000000000004">
      <c r="B312" s="21"/>
      <c r="C312" s="21"/>
    </row>
    <row r="313" spans="2:3" ht="14.25" customHeight="1" x14ac:dyDescent="0.55000000000000004">
      <c r="B313" s="21"/>
      <c r="C313" s="21"/>
    </row>
    <row r="314" spans="2:3" ht="14.25" customHeight="1" x14ac:dyDescent="0.55000000000000004">
      <c r="B314" s="21"/>
      <c r="C314" s="21"/>
    </row>
    <row r="315" spans="2:3" ht="14.25" customHeight="1" x14ac:dyDescent="0.55000000000000004">
      <c r="B315" s="21"/>
      <c r="C315" s="21"/>
    </row>
    <row r="316" spans="2:3" ht="14.25" customHeight="1" x14ac:dyDescent="0.55000000000000004">
      <c r="B316" s="21"/>
      <c r="C316" s="21"/>
    </row>
    <row r="317" spans="2:3" ht="14.25" customHeight="1" x14ac:dyDescent="0.55000000000000004">
      <c r="B317" s="21"/>
      <c r="C317" s="21"/>
    </row>
    <row r="318" spans="2:3" ht="14.25" customHeight="1" x14ac:dyDescent="0.55000000000000004">
      <c r="B318" s="21"/>
      <c r="C318" s="21"/>
    </row>
    <row r="319" spans="2:3" ht="14.25" customHeight="1" x14ac:dyDescent="0.55000000000000004">
      <c r="B319" s="21"/>
      <c r="C319" s="21"/>
    </row>
    <row r="320" spans="2:3" ht="14.25" customHeight="1" x14ac:dyDescent="0.55000000000000004">
      <c r="B320" s="21"/>
      <c r="C320" s="21"/>
    </row>
    <row r="321" spans="2:3" ht="14.25" customHeight="1" x14ac:dyDescent="0.55000000000000004">
      <c r="B321" s="21"/>
      <c r="C321" s="21"/>
    </row>
    <row r="322" spans="2:3" ht="14.25" customHeight="1" x14ac:dyDescent="0.55000000000000004">
      <c r="B322" s="21"/>
      <c r="C322" s="21"/>
    </row>
    <row r="323" spans="2:3" ht="14.25" customHeight="1" x14ac:dyDescent="0.55000000000000004">
      <c r="B323" s="21"/>
      <c r="C323" s="21"/>
    </row>
    <row r="324" spans="2:3" ht="14.25" customHeight="1" x14ac:dyDescent="0.55000000000000004">
      <c r="B324" s="21"/>
      <c r="C324" s="21"/>
    </row>
    <row r="325" spans="2:3" ht="14.25" customHeight="1" x14ac:dyDescent="0.55000000000000004">
      <c r="B325" s="21"/>
      <c r="C325" s="21"/>
    </row>
    <row r="326" spans="2:3" ht="14.25" customHeight="1" x14ac:dyDescent="0.55000000000000004">
      <c r="B326" s="21"/>
      <c r="C326" s="21"/>
    </row>
    <row r="327" spans="2:3" ht="14.25" customHeight="1" x14ac:dyDescent="0.55000000000000004">
      <c r="B327" s="21"/>
      <c r="C327" s="21"/>
    </row>
    <row r="328" spans="2:3" ht="14.25" customHeight="1" x14ac:dyDescent="0.55000000000000004">
      <c r="B328" s="21"/>
      <c r="C328" s="21"/>
    </row>
    <row r="329" spans="2:3" ht="14.25" customHeight="1" x14ac:dyDescent="0.55000000000000004">
      <c r="B329" s="21"/>
      <c r="C329" s="21"/>
    </row>
    <row r="330" spans="2:3" ht="14.25" customHeight="1" x14ac:dyDescent="0.55000000000000004">
      <c r="B330" s="21"/>
      <c r="C330" s="21"/>
    </row>
    <row r="331" spans="2:3" ht="14.25" customHeight="1" x14ac:dyDescent="0.55000000000000004">
      <c r="B331" s="21"/>
      <c r="C331" s="21"/>
    </row>
    <row r="332" spans="2:3" ht="14.25" customHeight="1" x14ac:dyDescent="0.55000000000000004">
      <c r="B332" s="21"/>
      <c r="C332" s="21"/>
    </row>
    <row r="333" spans="2:3" ht="14.25" customHeight="1" x14ac:dyDescent="0.55000000000000004">
      <c r="B333" s="21"/>
      <c r="C333" s="21"/>
    </row>
    <row r="334" spans="2:3" ht="14.25" customHeight="1" x14ac:dyDescent="0.55000000000000004">
      <c r="B334" s="21"/>
      <c r="C334" s="21"/>
    </row>
    <row r="335" spans="2:3" ht="14.25" customHeight="1" x14ac:dyDescent="0.55000000000000004">
      <c r="B335" s="21"/>
      <c r="C335" s="21"/>
    </row>
    <row r="336" spans="2:3" ht="14.25" customHeight="1" x14ac:dyDescent="0.55000000000000004">
      <c r="B336" s="21"/>
      <c r="C336" s="21"/>
    </row>
    <row r="337" spans="2:3" ht="14.25" customHeight="1" x14ac:dyDescent="0.55000000000000004">
      <c r="B337" s="21"/>
      <c r="C337" s="21"/>
    </row>
    <row r="338" spans="2:3" ht="14.25" customHeight="1" x14ac:dyDescent="0.55000000000000004">
      <c r="B338" s="21"/>
      <c r="C338" s="21"/>
    </row>
    <row r="339" spans="2:3" ht="14.25" customHeight="1" x14ac:dyDescent="0.55000000000000004">
      <c r="B339" s="21"/>
      <c r="C339" s="21"/>
    </row>
    <row r="340" spans="2:3" ht="14.25" customHeight="1" x14ac:dyDescent="0.55000000000000004">
      <c r="B340" s="21"/>
      <c r="C340" s="21"/>
    </row>
    <row r="341" spans="2:3" ht="14.25" customHeight="1" x14ac:dyDescent="0.55000000000000004">
      <c r="B341" s="21"/>
      <c r="C341" s="21"/>
    </row>
    <row r="342" spans="2:3" ht="14.25" customHeight="1" x14ac:dyDescent="0.55000000000000004">
      <c r="B342" s="21"/>
      <c r="C342" s="21"/>
    </row>
    <row r="343" spans="2:3" ht="14.25" customHeight="1" x14ac:dyDescent="0.55000000000000004">
      <c r="B343" s="21"/>
      <c r="C343" s="21"/>
    </row>
    <row r="344" spans="2:3" ht="14.25" customHeight="1" x14ac:dyDescent="0.55000000000000004">
      <c r="B344" s="21"/>
      <c r="C344" s="21"/>
    </row>
    <row r="345" spans="2:3" ht="14.25" customHeight="1" x14ac:dyDescent="0.55000000000000004">
      <c r="B345" s="21"/>
      <c r="C345" s="21"/>
    </row>
    <row r="346" spans="2:3" ht="14.25" customHeight="1" x14ac:dyDescent="0.55000000000000004">
      <c r="B346" s="21"/>
      <c r="C346" s="21"/>
    </row>
    <row r="347" spans="2:3" ht="14.25" customHeight="1" x14ac:dyDescent="0.55000000000000004">
      <c r="B347" s="21"/>
      <c r="C347" s="21"/>
    </row>
    <row r="348" spans="2:3" ht="14.25" customHeight="1" x14ac:dyDescent="0.55000000000000004">
      <c r="B348" s="21"/>
      <c r="C348" s="21"/>
    </row>
    <row r="349" spans="2:3" ht="14.25" customHeight="1" x14ac:dyDescent="0.55000000000000004">
      <c r="B349" s="21"/>
      <c r="C349" s="21"/>
    </row>
    <row r="350" spans="2:3" ht="14.25" customHeight="1" x14ac:dyDescent="0.55000000000000004">
      <c r="B350" s="21"/>
      <c r="C350" s="21"/>
    </row>
    <row r="351" spans="2:3" ht="14.25" customHeight="1" x14ac:dyDescent="0.55000000000000004">
      <c r="B351" s="21"/>
      <c r="C351" s="21"/>
    </row>
    <row r="352" spans="2:3" ht="14.25" customHeight="1" x14ac:dyDescent="0.55000000000000004">
      <c r="B352" s="21"/>
      <c r="C352" s="21"/>
    </row>
    <row r="353" spans="2:3" ht="14.25" customHeight="1" x14ac:dyDescent="0.55000000000000004">
      <c r="B353" s="21"/>
      <c r="C353" s="21"/>
    </row>
    <row r="354" spans="2:3" ht="14.25" customHeight="1" x14ac:dyDescent="0.55000000000000004">
      <c r="B354" s="21"/>
      <c r="C354" s="21"/>
    </row>
    <row r="355" spans="2:3" ht="14.25" customHeight="1" x14ac:dyDescent="0.55000000000000004">
      <c r="B355" s="21"/>
      <c r="C355" s="21"/>
    </row>
    <row r="356" spans="2:3" ht="14.25" customHeight="1" x14ac:dyDescent="0.55000000000000004">
      <c r="B356" s="21"/>
      <c r="C356" s="21"/>
    </row>
    <row r="357" spans="2:3" ht="14.25" customHeight="1" x14ac:dyDescent="0.55000000000000004">
      <c r="B357" s="21"/>
      <c r="C357" s="21"/>
    </row>
    <row r="358" spans="2:3" ht="14.25" customHeight="1" x14ac:dyDescent="0.55000000000000004">
      <c r="B358" s="21"/>
      <c r="C358" s="21"/>
    </row>
    <row r="359" spans="2:3" ht="14.25" customHeight="1" x14ac:dyDescent="0.55000000000000004">
      <c r="B359" s="21"/>
      <c r="C359" s="21"/>
    </row>
    <row r="360" spans="2:3" ht="14.25" customHeight="1" x14ac:dyDescent="0.55000000000000004">
      <c r="B360" s="21"/>
      <c r="C360" s="21"/>
    </row>
    <row r="361" spans="2:3" ht="14.25" customHeight="1" x14ac:dyDescent="0.55000000000000004">
      <c r="B361" s="21"/>
      <c r="C361" s="21"/>
    </row>
    <row r="362" spans="2:3" ht="14.25" customHeight="1" x14ac:dyDescent="0.55000000000000004">
      <c r="B362" s="21"/>
      <c r="C362" s="21"/>
    </row>
    <row r="363" spans="2:3" ht="14.25" customHeight="1" x14ac:dyDescent="0.55000000000000004">
      <c r="B363" s="21"/>
      <c r="C363" s="21"/>
    </row>
    <row r="364" spans="2:3" ht="14.25" customHeight="1" x14ac:dyDescent="0.55000000000000004">
      <c r="B364" s="21"/>
      <c r="C364" s="21"/>
    </row>
    <row r="365" spans="2:3" ht="14.25" customHeight="1" x14ac:dyDescent="0.55000000000000004">
      <c r="B365" s="21"/>
      <c r="C365" s="21"/>
    </row>
    <row r="366" spans="2:3" ht="14.25" customHeight="1" x14ac:dyDescent="0.55000000000000004">
      <c r="B366" s="21"/>
      <c r="C366" s="21"/>
    </row>
    <row r="367" spans="2:3" ht="14.25" customHeight="1" x14ac:dyDescent="0.55000000000000004">
      <c r="B367" s="21"/>
      <c r="C367" s="21"/>
    </row>
    <row r="368" spans="2:3" ht="14.25" customHeight="1" x14ac:dyDescent="0.55000000000000004">
      <c r="B368" s="21"/>
      <c r="C368" s="21"/>
    </row>
    <row r="369" spans="2:3" ht="14.25" customHeight="1" x14ac:dyDescent="0.55000000000000004">
      <c r="B369" s="21"/>
      <c r="C369" s="21"/>
    </row>
    <row r="370" spans="2:3" ht="14.25" customHeight="1" x14ac:dyDescent="0.55000000000000004">
      <c r="B370" s="21"/>
      <c r="C370" s="21"/>
    </row>
    <row r="371" spans="2:3" ht="14.25" customHeight="1" x14ac:dyDescent="0.55000000000000004">
      <c r="B371" s="21"/>
      <c r="C371" s="21"/>
    </row>
    <row r="372" spans="2:3" ht="14.25" customHeight="1" x14ac:dyDescent="0.55000000000000004">
      <c r="B372" s="21"/>
      <c r="C372" s="21"/>
    </row>
    <row r="373" spans="2:3" ht="14.25" customHeight="1" x14ac:dyDescent="0.55000000000000004">
      <c r="B373" s="21"/>
      <c r="C373" s="21"/>
    </row>
    <row r="374" spans="2:3" ht="14.25" customHeight="1" x14ac:dyDescent="0.55000000000000004">
      <c r="B374" s="21"/>
      <c r="C374" s="21"/>
    </row>
    <row r="375" spans="2:3" ht="14.25" customHeight="1" x14ac:dyDescent="0.55000000000000004">
      <c r="B375" s="21"/>
      <c r="C375" s="21"/>
    </row>
    <row r="376" spans="2:3" ht="14.25" customHeight="1" x14ac:dyDescent="0.55000000000000004">
      <c r="B376" s="21"/>
      <c r="C376" s="21"/>
    </row>
    <row r="377" spans="2:3" ht="14.25" customHeight="1" x14ac:dyDescent="0.55000000000000004">
      <c r="B377" s="21"/>
      <c r="C377" s="21"/>
    </row>
    <row r="378" spans="2:3" ht="14.25" customHeight="1" x14ac:dyDescent="0.55000000000000004">
      <c r="B378" s="21"/>
      <c r="C378" s="21"/>
    </row>
    <row r="379" spans="2:3" ht="14.25" customHeight="1" x14ac:dyDescent="0.55000000000000004">
      <c r="B379" s="21"/>
      <c r="C379" s="21"/>
    </row>
    <row r="380" spans="2:3" ht="14.25" customHeight="1" x14ac:dyDescent="0.55000000000000004">
      <c r="B380" s="21"/>
      <c r="C380" s="21"/>
    </row>
    <row r="381" spans="2:3" ht="14.25" customHeight="1" x14ac:dyDescent="0.55000000000000004">
      <c r="B381" s="21"/>
      <c r="C381" s="21"/>
    </row>
    <row r="382" spans="2:3" ht="14.25" customHeight="1" x14ac:dyDescent="0.55000000000000004">
      <c r="B382" s="21"/>
      <c r="C382" s="21"/>
    </row>
    <row r="383" spans="2:3" ht="14.25" customHeight="1" x14ac:dyDescent="0.55000000000000004">
      <c r="B383" s="21"/>
      <c r="C383" s="21"/>
    </row>
    <row r="384" spans="2:3" ht="14.25" customHeight="1" x14ac:dyDescent="0.55000000000000004">
      <c r="B384" s="21"/>
      <c r="C384" s="21"/>
    </row>
    <row r="385" spans="2:3" ht="14.25" customHeight="1" x14ac:dyDescent="0.55000000000000004">
      <c r="B385" s="21"/>
      <c r="C385" s="21"/>
    </row>
    <row r="386" spans="2:3" ht="14.25" customHeight="1" x14ac:dyDescent="0.55000000000000004">
      <c r="B386" s="21"/>
      <c r="C386" s="21"/>
    </row>
    <row r="387" spans="2:3" ht="14.25" customHeight="1" x14ac:dyDescent="0.55000000000000004">
      <c r="B387" s="21"/>
      <c r="C387" s="21"/>
    </row>
    <row r="388" spans="2:3" ht="14.25" customHeight="1" x14ac:dyDescent="0.55000000000000004">
      <c r="B388" s="21"/>
      <c r="C388" s="21"/>
    </row>
    <row r="389" spans="2:3" ht="14.25" customHeight="1" x14ac:dyDescent="0.55000000000000004">
      <c r="B389" s="21"/>
      <c r="C389" s="21"/>
    </row>
    <row r="390" spans="2:3" ht="14.25" customHeight="1" x14ac:dyDescent="0.55000000000000004">
      <c r="B390" s="21"/>
      <c r="C390" s="21"/>
    </row>
    <row r="391" spans="2:3" ht="14.25" customHeight="1" x14ac:dyDescent="0.55000000000000004">
      <c r="B391" s="21"/>
      <c r="C391" s="21"/>
    </row>
    <row r="392" spans="2:3" ht="14.25" customHeight="1" x14ac:dyDescent="0.55000000000000004">
      <c r="B392" s="21"/>
      <c r="C392" s="21"/>
    </row>
    <row r="393" spans="2:3" ht="14.25" customHeight="1" x14ac:dyDescent="0.55000000000000004">
      <c r="B393" s="21"/>
      <c r="C393" s="21"/>
    </row>
    <row r="394" spans="2:3" ht="14.25" customHeight="1" x14ac:dyDescent="0.55000000000000004">
      <c r="B394" s="21"/>
      <c r="C394" s="21"/>
    </row>
    <row r="395" spans="2:3" ht="14.25" customHeight="1" x14ac:dyDescent="0.55000000000000004">
      <c r="B395" s="21"/>
      <c r="C395" s="21"/>
    </row>
    <row r="396" spans="2:3" ht="14.25" customHeight="1" x14ac:dyDescent="0.55000000000000004">
      <c r="B396" s="21"/>
      <c r="C396" s="21"/>
    </row>
    <row r="397" spans="2:3" ht="14.25" customHeight="1" x14ac:dyDescent="0.55000000000000004">
      <c r="B397" s="21"/>
      <c r="C397" s="21"/>
    </row>
    <row r="398" spans="2:3" ht="14.25" customHeight="1" x14ac:dyDescent="0.55000000000000004">
      <c r="B398" s="21"/>
      <c r="C398" s="21"/>
    </row>
    <row r="399" spans="2:3" ht="14.25" customHeight="1" x14ac:dyDescent="0.55000000000000004">
      <c r="B399" s="21"/>
      <c r="C399" s="21"/>
    </row>
    <row r="400" spans="2:3" ht="14.25" customHeight="1" x14ac:dyDescent="0.55000000000000004">
      <c r="B400" s="21"/>
      <c r="C400" s="21"/>
    </row>
    <row r="401" spans="2:3" ht="14.25" customHeight="1" x14ac:dyDescent="0.55000000000000004">
      <c r="B401" s="21"/>
      <c r="C401" s="21"/>
    </row>
    <row r="402" spans="2:3" ht="14.25" customHeight="1" x14ac:dyDescent="0.55000000000000004">
      <c r="B402" s="21"/>
      <c r="C402" s="21"/>
    </row>
    <row r="403" spans="2:3" ht="14.25" customHeight="1" x14ac:dyDescent="0.55000000000000004">
      <c r="B403" s="21"/>
      <c r="C403" s="21"/>
    </row>
    <row r="404" spans="2:3" ht="14.25" customHeight="1" x14ac:dyDescent="0.55000000000000004">
      <c r="B404" s="21"/>
      <c r="C404" s="21"/>
    </row>
    <row r="405" spans="2:3" ht="14.25" customHeight="1" x14ac:dyDescent="0.55000000000000004">
      <c r="B405" s="21"/>
      <c r="C405" s="21"/>
    </row>
    <row r="406" spans="2:3" ht="14.25" customHeight="1" x14ac:dyDescent="0.55000000000000004">
      <c r="B406" s="21"/>
      <c r="C406" s="21"/>
    </row>
    <row r="407" spans="2:3" ht="14.25" customHeight="1" x14ac:dyDescent="0.55000000000000004">
      <c r="B407" s="21"/>
      <c r="C407" s="21"/>
    </row>
    <row r="408" spans="2:3" ht="14.25" customHeight="1" x14ac:dyDescent="0.55000000000000004">
      <c r="B408" s="21"/>
      <c r="C408" s="21"/>
    </row>
    <row r="409" spans="2:3" ht="14.25" customHeight="1" x14ac:dyDescent="0.55000000000000004">
      <c r="B409" s="21"/>
      <c r="C409" s="21"/>
    </row>
    <row r="410" spans="2:3" ht="14.25" customHeight="1" x14ac:dyDescent="0.55000000000000004">
      <c r="B410" s="21"/>
      <c r="C410" s="21"/>
    </row>
    <row r="411" spans="2:3" ht="14.25" customHeight="1" x14ac:dyDescent="0.55000000000000004">
      <c r="B411" s="21"/>
      <c r="C411" s="21"/>
    </row>
    <row r="412" spans="2:3" ht="14.25" customHeight="1" x14ac:dyDescent="0.55000000000000004">
      <c r="B412" s="21"/>
      <c r="C412" s="21"/>
    </row>
    <row r="413" spans="2:3" ht="14.25" customHeight="1" x14ac:dyDescent="0.55000000000000004">
      <c r="B413" s="21"/>
      <c r="C413" s="21"/>
    </row>
    <row r="414" spans="2:3" ht="14.25" customHeight="1" x14ac:dyDescent="0.55000000000000004">
      <c r="B414" s="21"/>
      <c r="C414" s="21"/>
    </row>
    <row r="415" spans="2:3" ht="14.25" customHeight="1" x14ac:dyDescent="0.55000000000000004">
      <c r="B415" s="21"/>
      <c r="C415" s="21"/>
    </row>
    <row r="416" spans="2:3" ht="14.25" customHeight="1" x14ac:dyDescent="0.55000000000000004">
      <c r="B416" s="21"/>
      <c r="C416" s="21"/>
    </row>
    <row r="417" spans="2:3" ht="14.25" customHeight="1" x14ac:dyDescent="0.55000000000000004">
      <c r="B417" s="21"/>
      <c r="C417" s="21"/>
    </row>
    <row r="418" spans="2:3" ht="14.25" customHeight="1" x14ac:dyDescent="0.55000000000000004">
      <c r="B418" s="21"/>
      <c r="C418" s="21"/>
    </row>
    <row r="419" spans="2:3" ht="14.25" customHeight="1" x14ac:dyDescent="0.55000000000000004">
      <c r="B419" s="21"/>
      <c r="C419" s="21"/>
    </row>
    <row r="420" spans="2:3" ht="14.25" customHeight="1" x14ac:dyDescent="0.55000000000000004">
      <c r="B420" s="21"/>
      <c r="C420" s="21"/>
    </row>
    <row r="421" spans="2:3" ht="14.25" customHeight="1" x14ac:dyDescent="0.55000000000000004">
      <c r="B421" s="21"/>
      <c r="C421" s="21"/>
    </row>
    <row r="422" spans="2:3" ht="14.25" customHeight="1" x14ac:dyDescent="0.55000000000000004">
      <c r="B422" s="21"/>
      <c r="C422" s="21"/>
    </row>
    <row r="423" spans="2:3" ht="14.25" customHeight="1" x14ac:dyDescent="0.55000000000000004">
      <c r="B423" s="21"/>
      <c r="C423" s="21"/>
    </row>
    <row r="424" spans="2:3" ht="14.25" customHeight="1" x14ac:dyDescent="0.55000000000000004">
      <c r="B424" s="21"/>
      <c r="C424" s="21"/>
    </row>
    <row r="425" spans="2:3" ht="14.25" customHeight="1" x14ac:dyDescent="0.55000000000000004">
      <c r="B425" s="21"/>
      <c r="C425" s="21"/>
    </row>
    <row r="426" spans="2:3" ht="14.25" customHeight="1" x14ac:dyDescent="0.55000000000000004">
      <c r="B426" s="21"/>
      <c r="C426" s="21"/>
    </row>
    <row r="427" spans="2:3" ht="14.25" customHeight="1" x14ac:dyDescent="0.55000000000000004">
      <c r="B427" s="21"/>
      <c r="C427" s="21"/>
    </row>
    <row r="428" spans="2:3" ht="14.25" customHeight="1" x14ac:dyDescent="0.55000000000000004">
      <c r="B428" s="21"/>
      <c r="C428" s="21"/>
    </row>
    <row r="429" spans="2:3" ht="14.25" customHeight="1" x14ac:dyDescent="0.55000000000000004">
      <c r="B429" s="21"/>
      <c r="C429" s="21"/>
    </row>
    <row r="430" spans="2:3" ht="14.25" customHeight="1" x14ac:dyDescent="0.55000000000000004">
      <c r="B430" s="21"/>
      <c r="C430" s="21"/>
    </row>
    <row r="431" spans="2:3" ht="14.25" customHeight="1" x14ac:dyDescent="0.55000000000000004">
      <c r="B431" s="21"/>
      <c r="C431" s="21"/>
    </row>
    <row r="432" spans="2:3" ht="14.25" customHeight="1" x14ac:dyDescent="0.55000000000000004">
      <c r="B432" s="21"/>
      <c r="C432" s="21"/>
    </row>
    <row r="433" spans="2:3" ht="14.25" customHeight="1" x14ac:dyDescent="0.55000000000000004">
      <c r="B433" s="21"/>
      <c r="C433" s="21"/>
    </row>
    <row r="434" spans="2:3" ht="14.25" customHeight="1" x14ac:dyDescent="0.55000000000000004">
      <c r="B434" s="21"/>
      <c r="C434" s="21"/>
    </row>
    <row r="435" spans="2:3" ht="14.25" customHeight="1" x14ac:dyDescent="0.55000000000000004">
      <c r="B435" s="21"/>
      <c r="C435" s="21"/>
    </row>
    <row r="436" spans="2:3" ht="14.25" customHeight="1" x14ac:dyDescent="0.55000000000000004">
      <c r="B436" s="21"/>
      <c r="C436" s="21"/>
    </row>
    <row r="437" spans="2:3" ht="14.25" customHeight="1" x14ac:dyDescent="0.55000000000000004">
      <c r="B437" s="21"/>
      <c r="C437" s="21"/>
    </row>
    <row r="438" spans="2:3" ht="14.25" customHeight="1" x14ac:dyDescent="0.55000000000000004">
      <c r="B438" s="21"/>
      <c r="C438" s="21"/>
    </row>
    <row r="439" spans="2:3" ht="14.25" customHeight="1" x14ac:dyDescent="0.55000000000000004">
      <c r="B439" s="21"/>
      <c r="C439" s="21"/>
    </row>
    <row r="440" spans="2:3" ht="14.25" customHeight="1" x14ac:dyDescent="0.55000000000000004">
      <c r="B440" s="21"/>
      <c r="C440" s="21"/>
    </row>
    <row r="441" spans="2:3" ht="14.25" customHeight="1" x14ac:dyDescent="0.55000000000000004">
      <c r="B441" s="21"/>
      <c r="C441" s="21"/>
    </row>
    <row r="442" spans="2:3" ht="14.25" customHeight="1" x14ac:dyDescent="0.55000000000000004">
      <c r="B442" s="21"/>
      <c r="C442" s="21"/>
    </row>
    <row r="443" spans="2:3" ht="14.25" customHeight="1" x14ac:dyDescent="0.55000000000000004">
      <c r="B443" s="21"/>
      <c r="C443" s="21"/>
    </row>
    <row r="444" spans="2:3" ht="14.25" customHeight="1" x14ac:dyDescent="0.55000000000000004">
      <c r="B444" s="21"/>
      <c r="C444" s="21"/>
    </row>
    <row r="445" spans="2:3" ht="14.25" customHeight="1" x14ac:dyDescent="0.55000000000000004">
      <c r="B445" s="21"/>
      <c r="C445" s="21"/>
    </row>
    <row r="446" spans="2:3" ht="14.25" customHeight="1" x14ac:dyDescent="0.55000000000000004">
      <c r="B446" s="21"/>
      <c r="C446" s="21"/>
    </row>
    <row r="447" spans="2:3" ht="14.25" customHeight="1" x14ac:dyDescent="0.55000000000000004">
      <c r="B447" s="21"/>
      <c r="C447" s="21"/>
    </row>
    <row r="448" spans="2:3" ht="14.25" customHeight="1" x14ac:dyDescent="0.55000000000000004">
      <c r="B448" s="21"/>
      <c r="C448" s="21"/>
    </row>
    <row r="449" spans="2:3" ht="14.25" customHeight="1" x14ac:dyDescent="0.55000000000000004">
      <c r="B449" s="21"/>
      <c r="C449" s="21"/>
    </row>
    <row r="450" spans="2:3" ht="14.25" customHeight="1" x14ac:dyDescent="0.55000000000000004">
      <c r="B450" s="21"/>
      <c r="C450" s="21"/>
    </row>
    <row r="451" spans="2:3" ht="14.25" customHeight="1" x14ac:dyDescent="0.55000000000000004">
      <c r="B451" s="21"/>
      <c r="C451" s="21"/>
    </row>
    <row r="452" spans="2:3" ht="14.25" customHeight="1" x14ac:dyDescent="0.55000000000000004">
      <c r="B452" s="21"/>
      <c r="C452" s="21"/>
    </row>
    <row r="453" spans="2:3" ht="14.25" customHeight="1" x14ac:dyDescent="0.55000000000000004">
      <c r="B453" s="21"/>
      <c r="C453" s="21"/>
    </row>
    <row r="454" spans="2:3" ht="14.25" customHeight="1" x14ac:dyDescent="0.55000000000000004">
      <c r="B454" s="21"/>
      <c r="C454" s="21"/>
    </row>
    <row r="455" spans="2:3" ht="14.25" customHeight="1" x14ac:dyDescent="0.55000000000000004">
      <c r="B455" s="21"/>
      <c r="C455" s="21"/>
    </row>
    <row r="456" spans="2:3" ht="14.25" customHeight="1" x14ac:dyDescent="0.55000000000000004">
      <c r="B456" s="21"/>
      <c r="C456" s="21"/>
    </row>
    <row r="457" spans="2:3" ht="14.25" customHeight="1" x14ac:dyDescent="0.55000000000000004">
      <c r="B457" s="21"/>
      <c r="C457" s="21"/>
    </row>
    <row r="458" spans="2:3" ht="14.25" customHeight="1" x14ac:dyDescent="0.55000000000000004">
      <c r="B458" s="21"/>
      <c r="C458" s="21"/>
    </row>
    <row r="459" spans="2:3" ht="14.25" customHeight="1" x14ac:dyDescent="0.55000000000000004">
      <c r="B459" s="21"/>
      <c r="C459" s="21"/>
    </row>
    <row r="460" spans="2:3" ht="14.25" customHeight="1" x14ac:dyDescent="0.55000000000000004">
      <c r="B460" s="21"/>
      <c r="C460" s="21"/>
    </row>
    <row r="461" spans="2:3" ht="14.25" customHeight="1" x14ac:dyDescent="0.55000000000000004">
      <c r="B461" s="21"/>
      <c r="C461" s="21"/>
    </row>
    <row r="462" spans="2:3" ht="14.25" customHeight="1" x14ac:dyDescent="0.55000000000000004">
      <c r="B462" s="21"/>
      <c r="C462" s="21"/>
    </row>
    <row r="463" spans="2:3" ht="14.25" customHeight="1" x14ac:dyDescent="0.55000000000000004">
      <c r="B463" s="21"/>
      <c r="C463" s="21"/>
    </row>
    <row r="464" spans="2:3" ht="14.25" customHeight="1" x14ac:dyDescent="0.55000000000000004">
      <c r="B464" s="21"/>
      <c r="C464" s="21"/>
    </row>
    <row r="465" spans="2:3" ht="14.25" customHeight="1" x14ac:dyDescent="0.55000000000000004">
      <c r="B465" s="21"/>
      <c r="C465" s="21"/>
    </row>
    <row r="466" spans="2:3" ht="14.25" customHeight="1" x14ac:dyDescent="0.55000000000000004">
      <c r="B466" s="21"/>
      <c r="C466" s="21"/>
    </row>
    <row r="467" spans="2:3" ht="14.25" customHeight="1" x14ac:dyDescent="0.55000000000000004">
      <c r="B467" s="21"/>
      <c r="C467" s="21"/>
    </row>
    <row r="468" spans="2:3" ht="14.25" customHeight="1" x14ac:dyDescent="0.55000000000000004">
      <c r="B468" s="21"/>
      <c r="C468" s="21"/>
    </row>
    <row r="469" spans="2:3" ht="14.25" customHeight="1" x14ac:dyDescent="0.55000000000000004">
      <c r="B469" s="21"/>
      <c r="C469" s="21"/>
    </row>
    <row r="470" spans="2:3" ht="14.25" customHeight="1" x14ac:dyDescent="0.55000000000000004">
      <c r="B470" s="21"/>
      <c r="C470" s="21"/>
    </row>
    <row r="471" spans="2:3" ht="14.25" customHeight="1" x14ac:dyDescent="0.55000000000000004">
      <c r="B471" s="21"/>
      <c r="C471" s="21"/>
    </row>
    <row r="472" spans="2:3" ht="14.25" customHeight="1" x14ac:dyDescent="0.55000000000000004">
      <c r="B472" s="21"/>
      <c r="C472" s="21"/>
    </row>
    <row r="473" spans="2:3" ht="14.25" customHeight="1" x14ac:dyDescent="0.55000000000000004">
      <c r="B473" s="21"/>
      <c r="C473" s="21"/>
    </row>
    <row r="474" spans="2:3" ht="14.25" customHeight="1" x14ac:dyDescent="0.55000000000000004">
      <c r="B474" s="21"/>
      <c r="C474" s="21"/>
    </row>
    <row r="475" spans="2:3" ht="14.25" customHeight="1" x14ac:dyDescent="0.55000000000000004">
      <c r="B475" s="21"/>
      <c r="C475" s="21"/>
    </row>
    <row r="476" spans="2:3" ht="14.25" customHeight="1" x14ac:dyDescent="0.55000000000000004">
      <c r="B476" s="21"/>
      <c r="C476" s="21"/>
    </row>
    <row r="477" spans="2:3" ht="14.25" customHeight="1" x14ac:dyDescent="0.55000000000000004">
      <c r="B477" s="21"/>
      <c r="C477" s="21"/>
    </row>
    <row r="478" spans="2:3" ht="14.25" customHeight="1" x14ac:dyDescent="0.55000000000000004">
      <c r="B478" s="21"/>
      <c r="C478" s="21"/>
    </row>
    <row r="479" spans="2:3" ht="14.25" customHeight="1" x14ac:dyDescent="0.55000000000000004">
      <c r="B479" s="21"/>
      <c r="C479" s="21"/>
    </row>
    <row r="480" spans="2:3" ht="14.25" customHeight="1" x14ac:dyDescent="0.55000000000000004">
      <c r="B480" s="21"/>
      <c r="C480" s="21"/>
    </row>
    <row r="481" spans="2:3" ht="14.25" customHeight="1" x14ac:dyDescent="0.55000000000000004">
      <c r="B481" s="21"/>
      <c r="C481" s="21"/>
    </row>
    <row r="482" spans="2:3" ht="14.25" customHeight="1" x14ac:dyDescent="0.55000000000000004">
      <c r="B482" s="21"/>
      <c r="C482" s="21"/>
    </row>
    <row r="483" spans="2:3" ht="14.25" customHeight="1" x14ac:dyDescent="0.55000000000000004">
      <c r="B483" s="21"/>
      <c r="C483" s="21"/>
    </row>
    <row r="484" spans="2:3" ht="14.25" customHeight="1" x14ac:dyDescent="0.55000000000000004">
      <c r="B484" s="21"/>
      <c r="C484" s="21"/>
    </row>
    <row r="485" spans="2:3" ht="14.25" customHeight="1" x14ac:dyDescent="0.55000000000000004">
      <c r="B485" s="21"/>
      <c r="C485" s="21"/>
    </row>
    <row r="486" spans="2:3" ht="14.25" customHeight="1" x14ac:dyDescent="0.55000000000000004">
      <c r="B486" s="21"/>
      <c r="C486" s="21"/>
    </row>
    <row r="487" spans="2:3" ht="14.25" customHeight="1" x14ac:dyDescent="0.55000000000000004">
      <c r="B487" s="21"/>
      <c r="C487" s="21"/>
    </row>
    <row r="488" spans="2:3" ht="14.25" customHeight="1" x14ac:dyDescent="0.55000000000000004">
      <c r="B488" s="21"/>
      <c r="C488" s="21"/>
    </row>
    <row r="489" spans="2:3" ht="14.25" customHeight="1" x14ac:dyDescent="0.55000000000000004">
      <c r="B489" s="21"/>
      <c r="C489" s="21"/>
    </row>
    <row r="490" spans="2:3" ht="14.25" customHeight="1" x14ac:dyDescent="0.55000000000000004">
      <c r="B490" s="21"/>
      <c r="C490" s="21"/>
    </row>
    <row r="491" spans="2:3" ht="14.25" customHeight="1" x14ac:dyDescent="0.55000000000000004">
      <c r="B491" s="21"/>
      <c r="C491" s="21"/>
    </row>
    <row r="492" spans="2:3" ht="14.25" customHeight="1" x14ac:dyDescent="0.55000000000000004">
      <c r="B492" s="21"/>
      <c r="C492" s="21"/>
    </row>
    <row r="493" spans="2:3" ht="14.25" customHeight="1" x14ac:dyDescent="0.55000000000000004">
      <c r="B493" s="21"/>
      <c r="C493" s="21"/>
    </row>
    <row r="494" spans="2:3" ht="14.25" customHeight="1" x14ac:dyDescent="0.55000000000000004">
      <c r="B494" s="21"/>
      <c r="C494" s="21"/>
    </row>
    <row r="495" spans="2:3" ht="14.25" customHeight="1" x14ac:dyDescent="0.55000000000000004">
      <c r="B495" s="21"/>
      <c r="C495" s="21"/>
    </row>
    <row r="496" spans="2:3" ht="14.25" customHeight="1" x14ac:dyDescent="0.55000000000000004">
      <c r="B496" s="21"/>
      <c r="C496" s="21"/>
    </row>
    <row r="497" spans="2:3" ht="14.25" customHeight="1" x14ac:dyDescent="0.55000000000000004">
      <c r="B497" s="21"/>
      <c r="C497" s="21"/>
    </row>
    <row r="498" spans="2:3" ht="14.25" customHeight="1" x14ac:dyDescent="0.55000000000000004">
      <c r="B498" s="21"/>
      <c r="C498" s="21"/>
    </row>
    <row r="499" spans="2:3" ht="14.25" customHeight="1" x14ac:dyDescent="0.55000000000000004">
      <c r="B499" s="21"/>
      <c r="C499" s="21"/>
    </row>
    <row r="500" spans="2:3" ht="14.25" customHeight="1" x14ac:dyDescent="0.55000000000000004">
      <c r="B500" s="21"/>
      <c r="C500" s="21"/>
    </row>
    <row r="501" spans="2:3" ht="14.25" customHeight="1" x14ac:dyDescent="0.55000000000000004">
      <c r="B501" s="21"/>
      <c r="C501" s="21"/>
    </row>
    <row r="502" spans="2:3" ht="14.25" customHeight="1" x14ac:dyDescent="0.55000000000000004">
      <c r="B502" s="21"/>
      <c r="C502" s="21"/>
    </row>
    <row r="503" spans="2:3" ht="14.25" customHeight="1" x14ac:dyDescent="0.55000000000000004">
      <c r="B503" s="21"/>
      <c r="C503" s="21"/>
    </row>
    <row r="504" spans="2:3" ht="14.25" customHeight="1" x14ac:dyDescent="0.55000000000000004">
      <c r="B504" s="21"/>
      <c r="C504" s="21"/>
    </row>
    <row r="505" spans="2:3" ht="14.25" customHeight="1" x14ac:dyDescent="0.55000000000000004">
      <c r="B505" s="21"/>
      <c r="C505" s="21"/>
    </row>
    <row r="506" spans="2:3" ht="14.25" customHeight="1" x14ac:dyDescent="0.55000000000000004">
      <c r="B506" s="21"/>
      <c r="C506" s="21"/>
    </row>
    <row r="507" spans="2:3" ht="14.25" customHeight="1" x14ac:dyDescent="0.55000000000000004">
      <c r="B507" s="21"/>
      <c r="C507" s="21"/>
    </row>
    <row r="508" spans="2:3" ht="14.25" customHeight="1" x14ac:dyDescent="0.55000000000000004">
      <c r="B508" s="21"/>
      <c r="C508" s="21"/>
    </row>
    <row r="509" spans="2:3" ht="14.25" customHeight="1" x14ac:dyDescent="0.55000000000000004">
      <c r="B509" s="21"/>
      <c r="C509" s="21"/>
    </row>
    <row r="510" spans="2:3" ht="14.25" customHeight="1" x14ac:dyDescent="0.55000000000000004">
      <c r="B510" s="21"/>
      <c r="C510" s="21"/>
    </row>
    <row r="511" spans="2:3" ht="14.25" customHeight="1" x14ac:dyDescent="0.55000000000000004">
      <c r="B511" s="21"/>
      <c r="C511" s="21"/>
    </row>
    <row r="512" spans="2:3" ht="14.25" customHeight="1" x14ac:dyDescent="0.55000000000000004">
      <c r="B512" s="21"/>
      <c r="C512" s="21"/>
    </row>
    <row r="513" spans="2:3" ht="14.25" customHeight="1" x14ac:dyDescent="0.55000000000000004">
      <c r="B513" s="21"/>
      <c r="C513" s="21"/>
    </row>
    <row r="514" spans="2:3" ht="14.25" customHeight="1" x14ac:dyDescent="0.55000000000000004">
      <c r="B514" s="21"/>
      <c r="C514" s="21"/>
    </row>
    <row r="515" spans="2:3" ht="14.25" customHeight="1" x14ac:dyDescent="0.55000000000000004">
      <c r="B515" s="21"/>
      <c r="C515" s="21"/>
    </row>
    <row r="516" spans="2:3" ht="14.25" customHeight="1" x14ac:dyDescent="0.55000000000000004">
      <c r="B516" s="21"/>
      <c r="C516" s="21"/>
    </row>
    <row r="517" spans="2:3" ht="14.25" customHeight="1" x14ac:dyDescent="0.55000000000000004">
      <c r="B517" s="21"/>
      <c r="C517" s="21"/>
    </row>
    <row r="518" spans="2:3" ht="14.25" customHeight="1" x14ac:dyDescent="0.55000000000000004">
      <c r="B518" s="21"/>
      <c r="C518" s="21"/>
    </row>
    <row r="519" spans="2:3" ht="14.25" customHeight="1" x14ac:dyDescent="0.55000000000000004">
      <c r="B519" s="21"/>
      <c r="C519" s="21"/>
    </row>
    <row r="520" spans="2:3" ht="14.25" customHeight="1" x14ac:dyDescent="0.55000000000000004">
      <c r="B520" s="21"/>
      <c r="C520" s="21"/>
    </row>
    <row r="521" spans="2:3" ht="14.25" customHeight="1" x14ac:dyDescent="0.55000000000000004">
      <c r="B521" s="21"/>
      <c r="C521" s="21"/>
    </row>
    <row r="522" spans="2:3" ht="14.25" customHeight="1" x14ac:dyDescent="0.55000000000000004">
      <c r="B522" s="21"/>
      <c r="C522" s="21"/>
    </row>
    <row r="523" spans="2:3" ht="14.25" customHeight="1" x14ac:dyDescent="0.55000000000000004">
      <c r="B523" s="21"/>
      <c r="C523" s="21"/>
    </row>
    <row r="524" spans="2:3" ht="14.25" customHeight="1" x14ac:dyDescent="0.55000000000000004">
      <c r="B524" s="21"/>
      <c r="C524" s="21"/>
    </row>
    <row r="525" spans="2:3" ht="14.25" customHeight="1" x14ac:dyDescent="0.55000000000000004">
      <c r="B525" s="21"/>
      <c r="C525" s="21"/>
    </row>
    <row r="526" spans="2:3" ht="14.25" customHeight="1" x14ac:dyDescent="0.55000000000000004">
      <c r="B526" s="21"/>
      <c r="C526" s="21"/>
    </row>
    <row r="527" spans="2:3" ht="14.25" customHeight="1" x14ac:dyDescent="0.55000000000000004">
      <c r="B527" s="21"/>
      <c r="C527" s="21"/>
    </row>
    <row r="528" spans="2:3" ht="14.25" customHeight="1" x14ac:dyDescent="0.55000000000000004">
      <c r="B528" s="21"/>
      <c r="C528" s="21"/>
    </row>
    <row r="529" spans="2:3" ht="14.25" customHeight="1" x14ac:dyDescent="0.55000000000000004">
      <c r="B529" s="21"/>
      <c r="C529" s="21"/>
    </row>
    <row r="530" spans="2:3" ht="14.25" customHeight="1" x14ac:dyDescent="0.55000000000000004">
      <c r="B530" s="21"/>
      <c r="C530" s="21"/>
    </row>
    <row r="531" spans="2:3" ht="14.25" customHeight="1" x14ac:dyDescent="0.55000000000000004">
      <c r="B531" s="21"/>
      <c r="C531" s="21"/>
    </row>
    <row r="532" spans="2:3" ht="14.25" customHeight="1" x14ac:dyDescent="0.55000000000000004">
      <c r="B532" s="21"/>
      <c r="C532" s="21"/>
    </row>
    <row r="533" spans="2:3" ht="14.25" customHeight="1" x14ac:dyDescent="0.55000000000000004">
      <c r="B533" s="21"/>
      <c r="C533" s="21"/>
    </row>
    <row r="534" spans="2:3" ht="14.25" customHeight="1" x14ac:dyDescent="0.55000000000000004">
      <c r="B534" s="21"/>
      <c r="C534" s="21"/>
    </row>
    <row r="535" spans="2:3" ht="14.25" customHeight="1" x14ac:dyDescent="0.55000000000000004">
      <c r="B535" s="21"/>
      <c r="C535" s="21"/>
    </row>
    <row r="536" spans="2:3" ht="14.25" customHeight="1" x14ac:dyDescent="0.55000000000000004">
      <c r="B536" s="21"/>
      <c r="C536" s="21"/>
    </row>
    <row r="537" spans="2:3" ht="14.25" customHeight="1" x14ac:dyDescent="0.55000000000000004">
      <c r="B537" s="21"/>
      <c r="C537" s="21"/>
    </row>
    <row r="538" spans="2:3" ht="14.25" customHeight="1" x14ac:dyDescent="0.55000000000000004">
      <c r="B538" s="21"/>
      <c r="C538" s="21"/>
    </row>
    <row r="539" spans="2:3" ht="14.25" customHeight="1" x14ac:dyDescent="0.55000000000000004">
      <c r="B539" s="21"/>
      <c r="C539" s="21"/>
    </row>
    <row r="540" spans="2:3" ht="14.25" customHeight="1" x14ac:dyDescent="0.55000000000000004">
      <c r="B540" s="21"/>
      <c r="C540" s="21"/>
    </row>
    <row r="541" spans="2:3" ht="14.25" customHeight="1" x14ac:dyDescent="0.55000000000000004">
      <c r="B541" s="21"/>
      <c r="C541" s="21"/>
    </row>
    <row r="542" spans="2:3" ht="14.25" customHeight="1" x14ac:dyDescent="0.55000000000000004">
      <c r="B542" s="21"/>
      <c r="C542" s="21"/>
    </row>
    <row r="543" spans="2:3" ht="14.25" customHeight="1" x14ac:dyDescent="0.55000000000000004">
      <c r="B543" s="21"/>
      <c r="C543" s="21"/>
    </row>
    <row r="544" spans="2:3" ht="14.25" customHeight="1" x14ac:dyDescent="0.55000000000000004">
      <c r="B544" s="21"/>
      <c r="C544" s="21"/>
    </row>
    <row r="545" spans="2:3" ht="14.25" customHeight="1" x14ac:dyDescent="0.55000000000000004">
      <c r="B545" s="21"/>
      <c r="C545" s="21"/>
    </row>
    <row r="546" spans="2:3" ht="14.25" customHeight="1" x14ac:dyDescent="0.55000000000000004">
      <c r="B546" s="21"/>
      <c r="C546" s="21"/>
    </row>
    <row r="547" spans="2:3" ht="14.25" customHeight="1" x14ac:dyDescent="0.55000000000000004">
      <c r="B547" s="21"/>
      <c r="C547" s="21"/>
    </row>
    <row r="548" spans="2:3" ht="14.25" customHeight="1" x14ac:dyDescent="0.55000000000000004">
      <c r="B548" s="21"/>
      <c r="C548" s="21"/>
    </row>
    <row r="549" spans="2:3" ht="14.25" customHeight="1" x14ac:dyDescent="0.55000000000000004">
      <c r="B549" s="21"/>
      <c r="C549" s="21"/>
    </row>
    <row r="550" spans="2:3" ht="14.25" customHeight="1" x14ac:dyDescent="0.55000000000000004">
      <c r="B550" s="21"/>
      <c r="C550" s="21"/>
    </row>
    <row r="551" spans="2:3" ht="14.25" customHeight="1" x14ac:dyDescent="0.55000000000000004">
      <c r="B551" s="21"/>
      <c r="C551" s="21"/>
    </row>
    <row r="552" spans="2:3" ht="14.25" customHeight="1" x14ac:dyDescent="0.55000000000000004">
      <c r="B552" s="21"/>
      <c r="C552" s="21"/>
    </row>
    <row r="553" spans="2:3" ht="14.25" customHeight="1" x14ac:dyDescent="0.55000000000000004">
      <c r="B553" s="21"/>
      <c r="C553" s="21"/>
    </row>
    <row r="554" spans="2:3" ht="14.25" customHeight="1" x14ac:dyDescent="0.55000000000000004">
      <c r="B554" s="21"/>
      <c r="C554" s="21"/>
    </row>
    <row r="555" spans="2:3" ht="14.25" customHeight="1" x14ac:dyDescent="0.55000000000000004">
      <c r="B555" s="21"/>
      <c r="C555" s="21"/>
    </row>
    <row r="556" spans="2:3" ht="14.25" customHeight="1" x14ac:dyDescent="0.55000000000000004">
      <c r="B556" s="21"/>
      <c r="C556" s="21"/>
    </row>
    <row r="557" spans="2:3" ht="14.25" customHeight="1" x14ac:dyDescent="0.55000000000000004">
      <c r="B557" s="21"/>
      <c r="C557" s="21"/>
    </row>
    <row r="558" spans="2:3" ht="14.25" customHeight="1" x14ac:dyDescent="0.55000000000000004">
      <c r="B558" s="21"/>
      <c r="C558" s="21"/>
    </row>
    <row r="559" spans="2:3" ht="14.25" customHeight="1" x14ac:dyDescent="0.55000000000000004">
      <c r="B559" s="21"/>
      <c r="C559" s="21"/>
    </row>
    <row r="560" spans="2:3" ht="14.25" customHeight="1" x14ac:dyDescent="0.55000000000000004">
      <c r="B560" s="21"/>
      <c r="C560" s="21"/>
    </row>
    <row r="561" spans="2:3" ht="14.25" customHeight="1" x14ac:dyDescent="0.55000000000000004">
      <c r="B561" s="21"/>
      <c r="C561" s="21"/>
    </row>
    <row r="562" spans="2:3" ht="14.25" customHeight="1" x14ac:dyDescent="0.55000000000000004">
      <c r="B562" s="21"/>
      <c r="C562" s="21"/>
    </row>
    <row r="563" spans="2:3" ht="14.25" customHeight="1" x14ac:dyDescent="0.55000000000000004">
      <c r="B563" s="21"/>
      <c r="C563" s="21"/>
    </row>
    <row r="564" spans="2:3" ht="14.25" customHeight="1" x14ac:dyDescent="0.55000000000000004">
      <c r="B564" s="21"/>
      <c r="C564" s="21"/>
    </row>
    <row r="565" spans="2:3" ht="14.25" customHeight="1" x14ac:dyDescent="0.55000000000000004">
      <c r="B565" s="21"/>
      <c r="C565" s="21"/>
    </row>
    <row r="566" spans="2:3" ht="14.25" customHeight="1" x14ac:dyDescent="0.55000000000000004">
      <c r="B566" s="21"/>
      <c r="C566" s="21"/>
    </row>
    <row r="567" spans="2:3" ht="14.25" customHeight="1" x14ac:dyDescent="0.55000000000000004">
      <c r="B567" s="21"/>
      <c r="C567" s="21"/>
    </row>
    <row r="568" spans="2:3" ht="14.25" customHeight="1" x14ac:dyDescent="0.55000000000000004">
      <c r="B568" s="21"/>
      <c r="C568" s="21"/>
    </row>
    <row r="569" spans="2:3" ht="14.25" customHeight="1" x14ac:dyDescent="0.55000000000000004">
      <c r="B569" s="21"/>
      <c r="C569" s="21"/>
    </row>
    <row r="570" spans="2:3" ht="14.25" customHeight="1" x14ac:dyDescent="0.55000000000000004">
      <c r="B570" s="21"/>
      <c r="C570" s="21"/>
    </row>
    <row r="571" spans="2:3" ht="14.25" customHeight="1" x14ac:dyDescent="0.55000000000000004">
      <c r="B571" s="21"/>
      <c r="C571" s="21"/>
    </row>
    <row r="572" spans="2:3" ht="14.25" customHeight="1" x14ac:dyDescent="0.55000000000000004">
      <c r="B572" s="21"/>
      <c r="C572" s="21"/>
    </row>
    <row r="573" spans="2:3" ht="14.25" customHeight="1" x14ac:dyDescent="0.55000000000000004">
      <c r="B573" s="21"/>
      <c r="C573" s="21"/>
    </row>
    <row r="574" spans="2:3" ht="14.25" customHeight="1" x14ac:dyDescent="0.55000000000000004">
      <c r="B574" s="21"/>
      <c r="C574" s="21"/>
    </row>
    <row r="575" spans="2:3" ht="14.25" customHeight="1" x14ac:dyDescent="0.55000000000000004">
      <c r="B575" s="21"/>
      <c r="C575" s="21"/>
    </row>
    <row r="576" spans="2:3" ht="14.25" customHeight="1" x14ac:dyDescent="0.55000000000000004">
      <c r="B576" s="21"/>
      <c r="C576" s="21"/>
    </row>
    <row r="577" spans="2:3" ht="14.25" customHeight="1" x14ac:dyDescent="0.55000000000000004">
      <c r="B577" s="21"/>
      <c r="C577" s="21"/>
    </row>
    <row r="578" spans="2:3" ht="14.25" customHeight="1" x14ac:dyDescent="0.55000000000000004">
      <c r="B578" s="21"/>
      <c r="C578" s="21"/>
    </row>
    <row r="579" spans="2:3" ht="14.25" customHeight="1" x14ac:dyDescent="0.55000000000000004">
      <c r="B579" s="21"/>
      <c r="C579" s="21"/>
    </row>
    <row r="580" spans="2:3" ht="14.25" customHeight="1" x14ac:dyDescent="0.55000000000000004">
      <c r="B580" s="21"/>
      <c r="C580" s="21"/>
    </row>
    <row r="581" spans="2:3" ht="14.25" customHeight="1" x14ac:dyDescent="0.55000000000000004">
      <c r="B581" s="21"/>
      <c r="C581" s="21"/>
    </row>
    <row r="582" spans="2:3" ht="14.25" customHeight="1" x14ac:dyDescent="0.55000000000000004">
      <c r="B582" s="21"/>
      <c r="C582" s="21"/>
    </row>
    <row r="583" spans="2:3" ht="14.25" customHeight="1" x14ac:dyDescent="0.55000000000000004">
      <c r="B583" s="21"/>
      <c r="C583" s="21"/>
    </row>
    <row r="584" spans="2:3" ht="14.25" customHeight="1" x14ac:dyDescent="0.55000000000000004">
      <c r="B584" s="21"/>
      <c r="C584" s="21"/>
    </row>
    <row r="585" spans="2:3" ht="14.25" customHeight="1" x14ac:dyDescent="0.55000000000000004">
      <c r="B585" s="21"/>
      <c r="C585" s="21"/>
    </row>
    <row r="586" spans="2:3" ht="14.25" customHeight="1" x14ac:dyDescent="0.55000000000000004">
      <c r="B586" s="21"/>
      <c r="C586" s="21"/>
    </row>
    <row r="587" spans="2:3" ht="14.25" customHeight="1" x14ac:dyDescent="0.55000000000000004">
      <c r="B587" s="21"/>
      <c r="C587" s="21"/>
    </row>
    <row r="588" spans="2:3" ht="14.25" customHeight="1" x14ac:dyDescent="0.55000000000000004">
      <c r="B588" s="21"/>
      <c r="C588" s="21"/>
    </row>
    <row r="589" spans="2:3" ht="14.25" customHeight="1" x14ac:dyDescent="0.55000000000000004">
      <c r="B589" s="21"/>
      <c r="C589" s="21"/>
    </row>
    <row r="590" spans="2:3" ht="14.25" customHeight="1" x14ac:dyDescent="0.55000000000000004">
      <c r="B590" s="21"/>
      <c r="C590" s="21"/>
    </row>
    <row r="591" spans="2:3" ht="14.25" customHeight="1" x14ac:dyDescent="0.55000000000000004">
      <c r="B591" s="21"/>
      <c r="C591" s="21"/>
    </row>
    <row r="592" spans="2:3" ht="14.25" customHeight="1" x14ac:dyDescent="0.55000000000000004">
      <c r="B592" s="21"/>
      <c r="C592" s="21"/>
    </row>
    <row r="593" spans="2:3" ht="14.25" customHeight="1" x14ac:dyDescent="0.55000000000000004">
      <c r="B593" s="21"/>
      <c r="C593" s="21"/>
    </row>
    <row r="594" spans="2:3" ht="14.25" customHeight="1" x14ac:dyDescent="0.55000000000000004">
      <c r="B594" s="21"/>
      <c r="C594" s="21"/>
    </row>
    <row r="595" spans="2:3" ht="14.25" customHeight="1" x14ac:dyDescent="0.55000000000000004">
      <c r="B595" s="21"/>
      <c r="C595" s="21"/>
    </row>
    <row r="596" spans="2:3" ht="14.25" customHeight="1" x14ac:dyDescent="0.55000000000000004">
      <c r="B596" s="21"/>
      <c r="C596" s="21"/>
    </row>
    <row r="597" spans="2:3" ht="14.25" customHeight="1" x14ac:dyDescent="0.55000000000000004">
      <c r="B597" s="21"/>
      <c r="C597" s="21"/>
    </row>
    <row r="598" spans="2:3" ht="14.25" customHeight="1" x14ac:dyDescent="0.55000000000000004">
      <c r="B598" s="21"/>
      <c r="C598" s="21"/>
    </row>
    <row r="599" spans="2:3" ht="14.25" customHeight="1" x14ac:dyDescent="0.55000000000000004">
      <c r="B599" s="21"/>
      <c r="C599" s="21"/>
    </row>
    <row r="600" spans="2:3" ht="14.25" customHeight="1" x14ac:dyDescent="0.55000000000000004">
      <c r="B600" s="21"/>
      <c r="C600" s="21"/>
    </row>
    <row r="601" spans="2:3" ht="14.25" customHeight="1" x14ac:dyDescent="0.55000000000000004">
      <c r="B601" s="21"/>
      <c r="C601" s="21"/>
    </row>
    <row r="602" spans="2:3" ht="14.25" customHeight="1" x14ac:dyDescent="0.55000000000000004">
      <c r="B602" s="21"/>
      <c r="C602" s="21"/>
    </row>
    <row r="603" spans="2:3" ht="14.25" customHeight="1" x14ac:dyDescent="0.55000000000000004">
      <c r="B603" s="21"/>
      <c r="C603" s="21"/>
    </row>
    <row r="604" spans="2:3" ht="14.25" customHeight="1" x14ac:dyDescent="0.55000000000000004">
      <c r="B604" s="21"/>
      <c r="C604" s="21"/>
    </row>
    <row r="605" spans="2:3" ht="14.25" customHeight="1" x14ac:dyDescent="0.55000000000000004">
      <c r="B605" s="21"/>
      <c r="C605" s="21"/>
    </row>
    <row r="606" spans="2:3" ht="14.25" customHeight="1" x14ac:dyDescent="0.55000000000000004">
      <c r="B606" s="21"/>
      <c r="C606" s="21"/>
    </row>
    <row r="607" spans="2:3" ht="14.25" customHeight="1" x14ac:dyDescent="0.55000000000000004">
      <c r="B607" s="21"/>
      <c r="C607" s="21"/>
    </row>
    <row r="608" spans="2:3" ht="14.25" customHeight="1" x14ac:dyDescent="0.55000000000000004">
      <c r="B608" s="21"/>
      <c r="C608" s="21"/>
    </row>
    <row r="609" spans="2:3" ht="14.25" customHeight="1" x14ac:dyDescent="0.55000000000000004">
      <c r="B609" s="21"/>
      <c r="C609" s="21"/>
    </row>
    <row r="610" spans="2:3" ht="14.25" customHeight="1" x14ac:dyDescent="0.55000000000000004">
      <c r="B610" s="21"/>
      <c r="C610" s="21"/>
    </row>
    <row r="611" spans="2:3" ht="14.25" customHeight="1" x14ac:dyDescent="0.55000000000000004">
      <c r="B611" s="21"/>
      <c r="C611" s="21"/>
    </row>
    <row r="612" spans="2:3" ht="14.25" customHeight="1" x14ac:dyDescent="0.55000000000000004">
      <c r="B612" s="21"/>
      <c r="C612" s="21"/>
    </row>
    <row r="613" spans="2:3" ht="14.25" customHeight="1" x14ac:dyDescent="0.55000000000000004">
      <c r="B613" s="21"/>
      <c r="C613" s="21"/>
    </row>
    <row r="614" spans="2:3" ht="14.25" customHeight="1" x14ac:dyDescent="0.55000000000000004">
      <c r="B614" s="21"/>
      <c r="C614" s="21"/>
    </row>
    <row r="615" spans="2:3" ht="14.25" customHeight="1" x14ac:dyDescent="0.55000000000000004">
      <c r="B615" s="21"/>
      <c r="C615" s="21"/>
    </row>
    <row r="616" spans="2:3" ht="14.25" customHeight="1" x14ac:dyDescent="0.55000000000000004">
      <c r="B616" s="21"/>
      <c r="C616" s="21"/>
    </row>
    <row r="617" spans="2:3" ht="14.25" customHeight="1" x14ac:dyDescent="0.55000000000000004">
      <c r="B617" s="21"/>
      <c r="C617" s="21"/>
    </row>
    <row r="618" spans="2:3" ht="14.25" customHeight="1" x14ac:dyDescent="0.55000000000000004">
      <c r="B618" s="21"/>
      <c r="C618" s="21"/>
    </row>
    <row r="619" spans="2:3" ht="14.25" customHeight="1" x14ac:dyDescent="0.55000000000000004">
      <c r="B619" s="21"/>
      <c r="C619" s="21"/>
    </row>
    <row r="620" spans="2:3" ht="14.25" customHeight="1" x14ac:dyDescent="0.55000000000000004">
      <c r="B620" s="21"/>
      <c r="C620" s="21"/>
    </row>
    <row r="621" spans="2:3" ht="14.25" customHeight="1" x14ac:dyDescent="0.55000000000000004">
      <c r="B621" s="21"/>
      <c r="C621" s="21"/>
    </row>
    <row r="622" spans="2:3" ht="14.25" customHeight="1" x14ac:dyDescent="0.55000000000000004">
      <c r="B622" s="21"/>
      <c r="C622" s="21"/>
    </row>
    <row r="623" spans="2:3" ht="14.25" customHeight="1" x14ac:dyDescent="0.55000000000000004">
      <c r="B623" s="21"/>
      <c r="C623" s="21"/>
    </row>
    <row r="624" spans="2:3" ht="14.25" customHeight="1" x14ac:dyDescent="0.55000000000000004">
      <c r="B624" s="21"/>
      <c r="C624" s="21"/>
    </row>
    <row r="625" spans="2:3" ht="14.25" customHeight="1" x14ac:dyDescent="0.55000000000000004">
      <c r="B625" s="21"/>
      <c r="C625" s="21"/>
    </row>
    <row r="626" spans="2:3" ht="14.25" customHeight="1" x14ac:dyDescent="0.55000000000000004">
      <c r="B626" s="21"/>
      <c r="C626" s="21"/>
    </row>
    <row r="627" spans="2:3" ht="14.25" customHeight="1" x14ac:dyDescent="0.55000000000000004">
      <c r="B627" s="21"/>
      <c r="C627" s="21"/>
    </row>
    <row r="628" spans="2:3" ht="14.25" customHeight="1" x14ac:dyDescent="0.55000000000000004">
      <c r="B628" s="21"/>
      <c r="C628" s="21"/>
    </row>
    <row r="629" spans="2:3" ht="14.25" customHeight="1" x14ac:dyDescent="0.55000000000000004">
      <c r="B629" s="21"/>
      <c r="C629" s="21"/>
    </row>
    <row r="630" spans="2:3" ht="14.25" customHeight="1" x14ac:dyDescent="0.55000000000000004">
      <c r="B630" s="21"/>
      <c r="C630" s="21"/>
    </row>
    <row r="631" spans="2:3" ht="14.25" customHeight="1" x14ac:dyDescent="0.55000000000000004">
      <c r="B631" s="21"/>
      <c r="C631" s="21"/>
    </row>
    <row r="632" spans="2:3" ht="14.25" customHeight="1" x14ac:dyDescent="0.55000000000000004">
      <c r="B632" s="21"/>
      <c r="C632" s="21"/>
    </row>
    <row r="633" spans="2:3" ht="14.25" customHeight="1" x14ac:dyDescent="0.55000000000000004">
      <c r="B633" s="21"/>
      <c r="C633" s="21"/>
    </row>
    <row r="634" spans="2:3" ht="14.25" customHeight="1" x14ac:dyDescent="0.55000000000000004">
      <c r="B634" s="21"/>
      <c r="C634" s="21"/>
    </row>
    <row r="635" spans="2:3" ht="14.25" customHeight="1" x14ac:dyDescent="0.55000000000000004">
      <c r="B635" s="21"/>
      <c r="C635" s="21"/>
    </row>
    <row r="636" spans="2:3" ht="14.25" customHeight="1" x14ac:dyDescent="0.55000000000000004">
      <c r="B636" s="21"/>
      <c r="C636" s="21"/>
    </row>
    <row r="637" spans="2:3" ht="14.25" customHeight="1" x14ac:dyDescent="0.55000000000000004">
      <c r="B637" s="21"/>
      <c r="C637" s="21"/>
    </row>
    <row r="638" spans="2:3" ht="14.25" customHeight="1" x14ac:dyDescent="0.55000000000000004">
      <c r="B638" s="21"/>
      <c r="C638" s="21"/>
    </row>
    <row r="639" spans="2:3" ht="14.25" customHeight="1" x14ac:dyDescent="0.55000000000000004">
      <c r="B639" s="21"/>
      <c r="C639" s="21"/>
    </row>
    <row r="640" spans="2:3" ht="14.25" customHeight="1" x14ac:dyDescent="0.55000000000000004">
      <c r="B640" s="21"/>
      <c r="C640" s="21"/>
    </row>
    <row r="641" spans="2:3" ht="14.25" customHeight="1" x14ac:dyDescent="0.55000000000000004">
      <c r="B641" s="21"/>
      <c r="C641" s="21"/>
    </row>
    <row r="642" spans="2:3" ht="14.25" customHeight="1" x14ac:dyDescent="0.55000000000000004">
      <c r="B642" s="21"/>
      <c r="C642" s="21"/>
    </row>
    <row r="643" spans="2:3" ht="14.25" customHeight="1" x14ac:dyDescent="0.55000000000000004">
      <c r="B643" s="21"/>
      <c r="C643" s="21"/>
    </row>
    <row r="644" spans="2:3" ht="14.25" customHeight="1" x14ac:dyDescent="0.55000000000000004">
      <c r="B644" s="21"/>
      <c r="C644" s="21"/>
    </row>
    <row r="645" spans="2:3" ht="14.25" customHeight="1" x14ac:dyDescent="0.55000000000000004">
      <c r="B645" s="21"/>
      <c r="C645" s="21"/>
    </row>
    <row r="646" spans="2:3" ht="14.25" customHeight="1" x14ac:dyDescent="0.55000000000000004">
      <c r="B646" s="21"/>
      <c r="C646" s="21"/>
    </row>
    <row r="647" spans="2:3" ht="14.25" customHeight="1" x14ac:dyDescent="0.55000000000000004">
      <c r="B647" s="21"/>
      <c r="C647" s="21"/>
    </row>
    <row r="648" spans="2:3" ht="14.25" customHeight="1" x14ac:dyDescent="0.55000000000000004">
      <c r="B648" s="21"/>
      <c r="C648" s="21"/>
    </row>
    <row r="649" spans="2:3" ht="14.25" customHeight="1" x14ac:dyDescent="0.55000000000000004">
      <c r="B649" s="21"/>
      <c r="C649" s="21"/>
    </row>
    <row r="650" spans="2:3" ht="14.25" customHeight="1" x14ac:dyDescent="0.55000000000000004">
      <c r="B650" s="21"/>
      <c r="C650" s="21"/>
    </row>
    <row r="651" spans="2:3" ht="14.25" customHeight="1" x14ac:dyDescent="0.55000000000000004">
      <c r="B651" s="21"/>
      <c r="C651" s="21"/>
    </row>
    <row r="652" spans="2:3" ht="14.25" customHeight="1" x14ac:dyDescent="0.55000000000000004">
      <c r="B652" s="21"/>
      <c r="C652" s="21"/>
    </row>
    <row r="653" spans="2:3" ht="14.25" customHeight="1" x14ac:dyDescent="0.55000000000000004">
      <c r="B653" s="21"/>
      <c r="C653" s="21"/>
    </row>
    <row r="654" spans="2:3" ht="14.25" customHeight="1" x14ac:dyDescent="0.55000000000000004">
      <c r="B654" s="21"/>
      <c r="C654" s="21"/>
    </row>
    <row r="655" spans="2:3" ht="14.25" customHeight="1" x14ac:dyDescent="0.55000000000000004">
      <c r="B655" s="21"/>
      <c r="C655" s="21"/>
    </row>
    <row r="656" spans="2:3" ht="14.25" customHeight="1" x14ac:dyDescent="0.55000000000000004">
      <c r="B656" s="21"/>
      <c r="C656" s="21"/>
    </row>
    <row r="657" spans="2:3" ht="14.25" customHeight="1" x14ac:dyDescent="0.55000000000000004">
      <c r="B657" s="21"/>
      <c r="C657" s="21"/>
    </row>
    <row r="658" spans="2:3" ht="14.25" customHeight="1" x14ac:dyDescent="0.55000000000000004">
      <c r="B658" s="21"/>
      <c r="C658" s="21"/>
    </row>
    <row r="659" spans="2:3" ht="14.25" customHeight="1" x14ac:dyDescent="0.55000000000000004">
      <c r="B659" s="21"/>
      <c r="C659" s="21"/>
    </row>
    <row r="660" spans="2:3" ht="14.25" customHeight="1" x14ac:dyDescent="0.55000000000000004">
      <c r="B660" s="21"/>
      <c r="C660" s="21"/>
    </row>
    <row r="661" spans="2:3" ht="14.25" customHeight="1" x14ac:dyDescent="0.55000000000000004">
      <c r="B661" s="21"/>
      <c r="C661" s="21"/>
    </row>
    <row r="662" spans="2:3" ht="14.25" customHeight="1" x14ac:dyDescent="0.55000000000000004">
      <c r="B662" s="21"/>
      <c r="C662" s="21"/>
    </row>
    <row r="663" spans="2:3" ht="14.25" customHeight="1" x14ac:dyDescent="0.55000000000000004">
      <c r="B663" s="21"/>
      <c r="C663" s="21"/>
    </row>
    <row r="664" spans="2:3" ht="14.25" customHeight="1" x14ac:dyDescent="0.55000000000000004">
      <c r="B664" s="21"/>
      <c r="C664" s="21"/>
    </row>
    <row r="665" spans="2:3" ht="14.25" customHeight="1" x14ac:dyDescent="0.55000000000000004">
      <c r="B665" s="21"/>
      <c r="C665" s="21"/>
    </row>
    <row r="666" spans="2:3" ht="14.25" customHeight="1" x14ac:dyDescent="0.55000000000000004">
      <c r="B666" s="21"/>
      <c r="C666" s="21"/>
    </row>
    <row r="667" spans="2:3" ht="14.25" customHeight="1" x14ac:dyDescent="0.55000000000000004">
      <c r="B667" s="21"/>
      <c r="C667" s="21"/>
    </row>
    <row r="668" spans="2:3" ht="14.25" customHeight="1" x14ac:dyDescent="0.55000000000000004">
      <c r="B668" s="21"/>
      <c r="C668" s="21"/>
    </row>
    <row r="669" spans="2:3" ht="14.25" customHeight="1" x14ac:dyDescent="0.55000000000000004">
      <c r="B669" s="21"/>
      <c r="C669" s="21"/>
    </row>
    <row r="670" spans="2:3" ht="14.25" customHeight="1" x14ac:dyDescent="0.55000000000000004">
      <c r="B670" s="21"/>
      <c r="C670" s="21"/>
    </row>
    <row r="671" spans="2:3" ht="14.25" customHeight="1" x14ac:dyDescent="0.55000000000000004">
      <c r="B671" s="21"/>
      <c r="C671" s="21"/>
    </row>
    <row r="672" spans="2:3" ht="14.25" customHeight="1" x14ac:dyDescent="0.55000000000000004">
      <c r="B672" s="21"/>
      <c r="C672" s="21"/>
    </row>
    <row r="673" spans="2:3" ht="14.25" customHeight="1" x14ac:dyDescent="0.55000000000000004">
      <c r="B673" s="21"/>
      <c r="C673" s="21"/>
    </row>
    <row r="674" spans="2:3" ht="14.25" customHeight="1" x14ac:dyDescent="0.55000000000000004">
      <c r="B674" s="21"/>
      <c r="C674" s="21"/>
    </row>
    <row r="675" spans="2:3" ht="14.25" customHeight="1" x14ac:dyDescent="0.55000000000000004">
      <c r="B675" s="21"/>
      <c r="C675" s="21"/>
    </row>
    <row r="676" spans="2:3" ht="14.25" customHeight="1" x14ac:dyDescent="0.55000000000000004">
      <c r="B676" s="21"/>
      <c r="C676" s="21"/>
    </row>
    <row r="677" spans="2:3" ht="14.25" customHeight="1" x14ac:dyDescent="0.55000000000000004">
      <c r="B677" s="21"/>
      <c r="C677" s="21"/>
    </row>
    <row r="678" spans="2:3" ht="14.25" customHeight="1" x14ac:dyDescent="0.55000000000000004">
      <c r="B678" s="21"/>
      <c r="C678" s="21"/>
    </row>
    <row r="679" spans="2:3" ht="14.25" customHeight="1" x14ac:dyDescent="0.55000000000000004">
      <c r="B679" s="21"/>
      <c r="C679" s="21"/>
    </row>
    <row r="680" spans="2:3" ht="14.25" customHeight="1" x14ac:dyDescent="0.55000000000000004">
      <c r="B680" s="21"/>
      <c r="C680" s="21"/>
    </row>
    <row r="681" spans="2:3" ht="14.25" customHeight="1" x14ac:dyDescent="0.55000000000000004">
      <c r="B681" s="21"/>
      <c r="C681" s="21"/>
    </row>
    <row r="682" spans="2:3" ht="14.25" customHeight="1" x14ac:dyDescent="0.55000000000000004">
      <c r="B682" s="21"/>
      <c r="C682" s="21"/>
    </row>
    <row r="683" spans="2:3" ht="14.25" customHeight="1" x14ac:dyDescent="0.55000000000000004">
      <c r="B683" s="21"/>
      <c r="C683" s="21"/>
    </row>
    <row r="684" spans="2:3" ht="14.25" customHeight="1" x14ac:dyDescent="0.55000000000000004">
      <c r="B684" s="21"/>
      <c r="C684" s="21"/>
    </row>
    <row r="685" spans="2:3" ht="14.25" customHeight="1" x14ac:dyDescent="0.55000000000000004">
      <c r="B685" s="21"/>
      <c r="C685" s="21"/>
    </row>
    <row r="686" spans="2:3" ht="14.25" customHeight="1" x14ac:dyDescent="0.55000000000000004">
      <c r="B686" s="21"/>
      <c r="C686" s="21"/>
    </row>
    <row r="687" spans="2:3" ht="14.25" customHeight="1" x14ac:dyDescent="0.55000000000000004">
      <c r="B687" s="21"/>
      <c r="C687" s="21"/>
    </row>
    <row r="688" spans="2:3" ht="14.25" customHeight="1" x14ac:dyDescent="0.55000000000000004">
      <c r="B688" s="21"/>
      <c r="C688" s="21"/>
    </row>
    <row r="689" spans="2:3" ht="14.25" customHeight="1" x14ac:dyDescent="0.55000000000000004">
      <c r="B689" s="21"/>
      <c r="C689" s="21"/>
    </row>
    <row r="690" spans="2:3" ht="14.25" customHeight="1" x14ac:dyDescent="0.55000000000000004">
      <c r="B690" s="21"/>
      <c r="C690" s="21"/>
    </row>
    <row r="691" spans="2:3" ht="14.25" customHeight="1" x14ac:dyDescent="0.55000000000000004">
      <c r="B691" s="21"/>
      <c r="C691" s="21"/>
    </row>
    <row r="692" spans="2:3" ht="14.25" customHeight="1" x14ac:dyDescent="0.55000000000000004">
      <c r="B692" s="21"/>
      <c r="C692" s="21"/>
    </row>
    <row r="693" spans="2:3" ht="14.25" customHeight="1" x14ac:dyDescent="0.55000000000000004">
      <c r="B693" s="21"/>
      <c r="C693" s="21"/>
    </row>
    <row r="694" spans="2:3" ht="14.25" customHeight="1" x14ac:dyDescent="0.55000000000000004">
      <c r="B694" s="21"/>
      <c r="C694" s="21"/>
    </row>
    <row r="695" spans="2:3" ht="14.25" customHeight="1" x14ac:dyDescent="0.55000000000000004">
      <c r="B695" s="21"/>
      <c r="C695" s="21"/>
    </row>
    <row r="696" spans="2:3" ht="14.25" customHeight="1" x14ac:dyDescent="0.55000000000000004">
      <c r="B696" s="21"/>
      <c r="C696" s="21"/>
    </row>
    <row r="697" spans="2:3" ht="14.25" customHeight="1" x14ac:dyDescent="0.55000000000000004">
      <c r="B697" s="21"/>
      <c r="C697" s="21"/>
    </row>
    <row r="698" spans="2:3" ht="14.25" customHeight="1" x14ac:dyDescent="0.55000000000000004">
      <c r="B698" s="21"/>
      <c r="C698" s="21"/>
    </row>
    <row r="699" spans="2:3" ht="14.25" customHeight="1" x14ac:dyDescent="0.55000000000000004">
      <c r="B699" s="21"/>
      <c r="C699" s="21"/>
    </row>
    <row r="700" spans="2:3" ht="14.25" customHeight="1" x14ac:dyDescent="0.55000000000000004">
      <c r="B700" s="21"/>
      <c r="C700" s="21"/>
    </row>
    <row r="701" spans="2:3" ht="14.25" customHeight="1" x14ac:dyDescent="0.55000000000000004">
      <c r="B701" s="21"/>
      <c r="C701" s="21"/>
    </row>
    <row r="702" spans="2:3" ht="14.25" customHeight="1" x14ac:dyDescent="0.55000000000000004">
      <c r="B702" s="21"/>
      <c r="C702" s="21"/>
    </row>
    <row r="703" spans="2:3" ht="14.25" customHeight="1" x14ac:dyDescent="0.55000000000000004">
      <c r="B703" s="21"/>
      <c r="C703" s="21"/>
    </row>
    <row r="704" spans="2:3" ht="14.25" customHeight="1" x14ac:dyDescent="0.55000000000000004">
      <c r="B704" s="21"/>
      <c r="C704" s="21"/>
    </row>
    <row r="705" spans="2:3" ht="14.25" customHeight="1" x14ac:dyDescent="0.55000000000000004">
      <c r="B705" s="21"/>
      <c r="C705" s="21"/>
    </row>
    <row r="706" spans="2:3" ht="14.25" customHeight="1" x14ac:dyDescent="0.55000000000000004">
      <c r="B706" s="21"/>
      <c r="C706" s="21"/>
    </row>
    <row r="707" spans="2:3" ht="14.25" customHeight="1" x14ac:dyDescent="0.55000000000000004">
      <c r="B707" s="21"/>
      <c r="C707" s="21"/>
    </row>
    <row r="708" spans="2:3" ht="14.25" customHeight="1" x14ac:dyDescent="0.55000000000000004">
      <c r="B708" s="21"/>
      <c r="C708" s="21"/>
    </row>
    <row r="709" spans="2:3" ht="14.25" customHeight="1" x14ac:dyDescent="0.55000000000000004">
      <c r="B709" s="21"/>
      <c r="C709" s="21"/>
    </row>
    <row r="710" spans="2:3" ht="14.25" customHeight="1" x14ac:dyDescent="0.55000000000000004">
      <c r="B710" s="21"/>
      <c r="C710" s="21"/>
    </row>
    <row r="711" spans="2:3" ht="14.25" customHeight="1" x14ac:dyDescent="0.55000000000000004">
      <c r="B711" s="21"/>
      <c r="C711" s="21"/>
    </row>
    <row r="712" spans="2:3" ht="14.25" customHeight="1" x14ac:dyDescent="0.55000000000000004">
      <c r="B712" s="21"/>
      <c r="C712" s="21"/>
    </row>
    <row r="713" spans="2:3" ht="14.25" customHeight="1" x14ac:dyDescent="0.55000000000000004">
      <c r="B713" s="21"/>
      <c r="C713" s="21"/>
    </row>
    <row r="714" spans="2:3" ht="14.25" customHeight="1" x14ac:dyDescent="0.55000000000000004">
      <c r="B714" s="21"/>
      <c r="C714" s="21"/>
    </row>
    <row r="715" spans="2:3" ht="14.25" customHeight="1" x14ac:dyDescent="0.55000000000000004">
      <c r="B715" s="21"/>
      <c r="C715" s="21"/>
    </row>
    <row r="716" spans="2:3" ht="14.25" customHeight="1" x14ac:dyDescent="0.55000000000000004">
      <c r="B716" s="21"/>
      <c r="C716" s="21"/>
    </row>
    <row r="717" spans="2:3" ht="14.25" customHeight="1" x14ac:dyDescent="0.55000000000000004">
      <c r="B717" s="21"/>
      <c r="C717" s="21"/>
    </row>
    <row r="718" spans="2:3" ht="14.25" customHeight="1" x14ac:dyDescent="0.55000000000000004">
      <c r="B718" s="21"/>
      <c r="C718" s="21"/>
    </row>
    <row r="719" spans="2:3" ht="14.25" customHeight="1" x14ac:dyDescent="0.55000000000000004">
      <c r="B719" s="21"/>
      <c r="C719" s="21"/>
    </row>
    <row r="720" spans="2:3" ht="14.25" customHeight="1" x14ac:dyDescent="0.55000000000000004">
      <c r="B720" s="21"/>
      <c r="C720" s="21"/>
    </row>
    <row r="721" spans="2:3" ht="14.25" customHeight="1" x14ac:dyDescent="0.55000000000000004">
      <c r="B721" s="21"/>
      <c r="C721" s="21"/>
    </row>
    <row r="722" spans="2:3" ht="14.25" customHeight="1" x14ac:dyDescent="0.55000000000000004">
      <c r="B722" s="21"/>
      <c r="C722" s="21"/>
    </row>
    <row r="723" spans="2:3" ht="14.25" customHeight="1" x14ac:dyDescent="0.55000000000000004">
      <c r="B723" s="21"/>
      <c r="C723" s="21"/>
    </row>
    <row r="724" spans="2:3" ht="14.25" customHeight="1" x14ac:dyDescent="0.55000000000000004">
      <c r="B724" s="21"/>
      <c r="C724" s="21"/>
    </row>
    <row r="725" spans="2:3" ht="14.25" customHeight="1" x14ac:dyDescent="0.55000000000000004">
      <c r="B725" s="21"/>
      <c r="C725" s="21"/>
    </row>
    <row r="726" spans="2:3" ht="14.25" customHeight="1" x14ac:dyDescent="0.55000000000000004">
      <c r="B726" s="21"/>
      <c r="C726" s="21"/>
    </row>
    <row r="727" spans="2:3" ht="14.25" customHeight="1" x14ac:dyDescent="0.55000000000000004">
      <c r="B727" s="21"/>
      <c r="C727" s="21"/>
    </row>
    <row r="728" spans="2:3" ht="14.25" customHeight="1" x14ac:dyDescent="0.55000000000000004">
      <c r="B728" s="21"/>
      <c r="C728" s="21"/>
    </row>
    <row r="729" spans="2:3" ht="14.25" customHeight="1" x14ac:dyDescent="0.55000000000000004">
      <c r="B729" s="21"/>
      <c r="C729" s="21"/>
    </row>
    <row r="730" spans="2:3" ht="14.25" customHeight="1" x14ac:dyDescent="0.55000000000000004">
      <c r="B730" s="21"/>
      <c r="C730" s="21"/>
    </row>
    <row r="731" spans="2:3" ht="14.25" customHeight="1" x14ac:dyDescent="0.55000000000000004">
      <c r="B731" s="21"/>
      <c r="C731" s="21"/>
    </row>
    <row r="732" spans="2:3" ht="14.25" customHeight="1" x14ac:dyDescent="0.55000000000000004">
      <c r="B732" s="21"/>
      <c r="C732" s="21"/>
    </row>
    <row r="733" spans="2:3" ht="14.25" customHeight="1" x14ac:dyDescent="0.55000000000000004">
      <c r="B733" s="21"/>
      <c r="C733" s="21"/>
    </row>
    <row r="734" spans="2:3" ht="14.25" customHeight="1" x14ac:dyDescent="0.55000000000000004">
      <c r="B734" s="21"/>
      <c r="C734" s="21"/>
    </row>
    <row r="735" spans="2:3" ht="14.25" customHeight="1" x14ac:dyDescent="0.55000000000000004">
      <c r="B735" s="21"/>
      <c r="C735" s="21"/>
    </row>
    <row r="736" spans="2:3" ht="14.25" customHeight="1" x14ac:dyDescent="0.55000000000000004">
      <c r="B736" s="21"/>
      <c r="C736" s="21"/>
    </row>
    <row r="737" spans="2:3" ht="14.25" customHeight="1" x14ac:dyDescent="0.55000000000000004">
      <c r="B737" s="21"/>
      <c r="C737" s="21"/>
    </row>
    <row r="738" spans="2:3" ht="14.25" customHeight="1" x14ac:dyDescent="0.55000000000000004">
      <c r="B738" s="21"/>
      <c r="C738" s="21"/>
    </row>
    <row r="739" spans="2:3" ht="14.25" customHeight="1" x14ac:dyDescent="0.55000000000000004">
      <c r="B739" s="21"/>
      <c r="C739" s="21"/>
    </row>
    <row r="740" spans="2:3" ht="14.25" customHeight="1" x14ac:dyDescent="0.55000000000000004">
      <c r="B740" s="21"/>
      <c r="C740" s="21"/>
    </row>
    <row r="741" spans="2:3" ht="14.25" customHeight="1" x14ac:dyDescent="0.55000000000000004">
      <c r="B741" s="21"/>
      <c r="C741" s="21"/>
    </row>
    <row r="742" spans="2:3" ht="14.25" customHeight="1" x14ac:dyDescent="0.55000000000000004">
      <c r="B742" s="21"/>
      <c r="C742" s="21"/>
    </row>
    <row r="743" spans="2:3" ht="14.25" customHeight="1" x14ac:dyDescent="0.55000000000000004">
      <c r="B743" s="21"/>
      <c r="C743" s="21"/>
    </row>
    <row r="744" spans="2:3" ht="14.25" customHeight="1" x14ac:dyDescent="0.55000000000000004">
      <c r="B744" s="21"/>
      <c r="C744" s="21"/>
    </row>
    <row r="745" spans="2:3" ht="14.25" customHeight="1" x14ac:dyDescent="0.55000000000000004">
      <c r="B745" s="21"/>
      <c r="C745" s="21"/>
    </row>
    <row r="746" spans="2:3" ht="14.25" customHeight="1" x14ac:dyDescent="0.55000000000000004">
      <c r="B746" s="21"/>
      <c r="C746" s="21"/>
    </row>
    <row r="747" spans="2:3" ht="14.25" customHeight="1" x14ac:dyDescent="0.55000000000000004">
      <c r="B747" s="21"/>
      <c r="C747" s="21"/>
    </row>
    <row r="748" spans="2:3" ht="14.25" customHeight="1" x14ac:dyDescent="0.55000000000000004">
      <c r="B748" s="21"/>
      <c r="C748" s="21"/>
    </row>
    <row r="749" spans="2:3" ht="14.25" customHeight="1" x14ac:dyDescent="0.55000000000000004">
      <c r="B749" s="21"/>
      <c r="C749" s="21"/>
    </row>
    <row r="750" spans="2:3" ht="14.25" customHeight="1" x14ac:dyDescent="0.55000000000000004">
      <c r="B750" s="21"/>
      <c r="C750" s="21"/>
    </row>
    <row r="751" spans="2:3" ht="14.25" customHeight="1" x14ac:dyDescent="0.55000000000000004">
      <c r="B751" s="21"/>
      <c r="C751" s="21"/>
    </row>
    <row r="752" spans="2:3" ht="14.25" customHeight="1" x14ac:dyDescent="0.55000000000000004">
      <c r="B752" s="21"/>
      <c r="C752" s="21"/>
    </row>
    <row r="753" spans="2:3" ht="14.25" customHeight="1" x14ac:dyDescent="0.55000000000000004">
      <c r="B753" s="21"/>
      <c r="C753" s="21"/>
    </row>
    <row r="754" spans="2:3" ht="14.25" customHeight="1" x14ac:dyDescent="0.55000000000000004">
      <c r="B754" s="21"/>
      <c r="C754" s="21"/>
    </row>
    <row r="755" spans="2:3" ht="14.25" customHeight="1" x14ac:dyDescent="0.55000000000000004">
      <c r="B755" s="21"/>
      <c r="C755" s="21"/>
    </row>
    <row r="756" spans="2:3" ht="14.25" customHeight="1" x14ac:dyDescent="0.55000000000000004">
      <c r="B756" s="21"/>
      <c r="C756" s="21"/>
    </row>
    <row r="757" spans="2:3" ht="14.25" customHeight="1" x14ac:dyDescent="0.55000000000000004">
      <c r="B757" s="21"/>
      <c r="C757" s="21"/>
    </row>
    <row r="758" spans="2:3" ht="14.25" customHeight="1" x14ac:dyDescent="0.55000000000000004">
      <c r="B758" s="21"/>
      <c r="C758" s="21"/>
    </row>
    <row r="759" spans="2:3" ht="14.25" customHeight="1" x14ac:dyDescent="0.55000000000000004">
      <c r="B759" s="21"/>
      <c r="C759" s="21"/>
    </row>
    <row r="760" spans="2:3" ht="14.25" customHeight="1" x14ac:dyDescent="0.55000000000000004">
      <c r="B760" s="21"/>
      <c r="C760" s="21"/>
    </row>
    <row r="761" spans="2:3" ht="14.25" customHeight="1" x14ac:dyDescent="0.55000000000000004">
      <c r="B761" s="21"/>
      <c r="C761" s="21"/>
    </row>
    <row r="762" spans="2:3" ht="14.25" customHeight="1" x14ac:dyDescent="0.55000000000000004">
      <c r="B762" s="21"/>
      <c r="C762" s="21"/>
    </row>
    <row r="763" spans="2:3" ht="14.25" customHeight="1" x14ac:dyDescent="0.55000000000000004">
      <c r="B763" s="21"/>
      <c r="C763" s="21"/>
    </row>
    <row r="764" spans="2:3" ht="14.25" customHeight="1" x14ac:dyDescent="0.55000000000000004">
      <c r="B764" s="21"/>
      <c r="C764" s="21"/>
    </row>
    <row r="765" spans="2:3" ht="14.25" customHeight="1" x14ac:dyDescent="0.55000000000000004">
      <c r="B765" s="21"/>
      <c r="C765" s="21"/>
    </row>
    <row r="766" spans="2:3" ht="14.25" customHeight="1" x14ac:dyDescent="0.55000000000000004">
      <c r="B766" s="21"/>
      <c r="C766" s="21"/>
    </row>
    <row r="767" spans="2:3" ht="14.25" customHeight="1" x14ac:dyDescent="0.55000000000000004">
      <c r="B767" s="21"/>
      <c r="C767" s="21"/>
    </row>
    <row r="768" spans="2:3" ht="14.25" customHeight="1" x14ac:dyDescent="0.55000000000000004">
      <c r="B768" s="21"/>
      <c r="C768" s="21"/>
    </row>
    <row r="769" spans="2:3" ht="14.25" customHeight="1" x14ac:dyDescent="0.55000000000000004">
      <c r="B769" s="21"/>
      <c r="C769" s="21"/>
    </row>
    <row r="770" spans="2:3" ht="14.25" customHeight="1" x14ac:dyDescent="0.55000000000000004">
      <c r="B770" s="21"/>
      <c r="C770" s="21"/>
    </row>
    <row r="771" spans="2:3" ht="14.25" customHeight="1" x14ac:dyDescent="0.55000000000000004">
      <c r="B771" s="21"/>
      <c r="C771" s="21"/>
    </row>
    <row r="772" spans="2:3" ht="14.25" customHeight="1" x14ac:dyDescent="0.55000000000000004">
      <c r="B772" s="21"/>
      <c r="C772" s="21"/>
    </row>
    <row r="773" spans="2:3" ht="14.25" customHeight="1" x14ac:dyDescent="0.55000000000000004">
      <c r="B773" s="21"/>
      <c r="C773" s="21"/>
    </row>
    <row r="774" spans="2:3" ht="14.25" customHeight="1" x14ac:dyDescent="0.55000000000000004">
      <c r="B774" s="21"/>
      <c r="C774" s="21"/>
    </row>
    <row r="775" spans="2:3" ht="14.25" customHeight="1" x14ac:dyDescent="0.55000000000000004">
      <c r="B775" s="21"/>
      <c r="C775" s="21"/>
    </row>
    <row r="776" spans="2:3" ht="14.25" customHeight="1" x14ac:dyDescent="0.55000000000000004">
      <c r="B776" s="21"/>
      <c r="C776" s="21"/>
    </row>
    <row r="777" spans="2:3" ht="14.25" customHeight="1" x14ac:dyDescent="0.55000000000000004">
      <c r="B777" s="21"/>
      <c r="C777" s="21"/>
    </row>
    <row r="778" spans="2:3" ht="14.25" customHeight="1" x14ac:dyDescent="0.55000000000000004">
      <c r="B778" s="21"/>
      <c r="C778" s="21"/>
    </row>
    <row r="779" spans="2:3" ht="14.25" customHeight="1" x14ac:dyDescent="0.55000000000000004">
      <c r="B779" s="21"/>
      <c r="C779" s="21"/>
    </row>
    <row r="780" spans="2:3" ht="14.25" customHeight="1" x14ac:dyDescent="0.55000000000000004">
      <c r="B780" s="21"/>
      <c r="C780" s="21"/>
    </row>
    <row r="781" spans="2:3" ht="14.25" customHeight="1" x14ac:dyDescent="0.55000000000000004">
      <c r="B781" s="21"/>
      <c r="C781" s="21"/>
    </row>
    <row r="782" spans="2:3" ht="14.25" customHeight="1" x14ac:dyDescent="0.55000000000000004">
      <c r="B782" s="21"/>
      <c r="C782" s="21"/>
    </row>
    <row r="783" spans="2:3" ht="14.25" customHeight="1" x14ac:dyDescent="0.55000000000000004">
      <c r="B783" s="21"/>
      <c r="C783" s="21"/>
    </row>
    <row r="784" spans="2:3" ht="14.25" customHeight="1" x14ac:dyDescent="0.55000000000000004">
      <c r="B784" s="21"/>
      <c r="C784" s="21"/>
    </row>
    <row r="785" spans="2:3" ht="14.25" customHeight="1" x14ac:dyDescent="0.55000000000000004">
      <c r="B785" s="21"/>
      <c r="C785" s="21"/>
    </row>
    <row r="786" spans="2:3" ht="14.25" customHeight="1" x14ac:dyDescent="0.55000000000000004">
      <c r="B786" s="21"/>
      <c r="C786" s="21"/>
    </row>
    <row r="787" spans="2:3" ht="14.25" customHeight="1" x14ac:dyDescent="0.55000000000000004">
      <c r="B787" s="21"/>
      <c r="C787" s="21"/>
    </row>
    <row r="788" spans="2:3" ht="14.25" customHeight="1" x14ac:dyDescent="0.55000000000000004">
      <c r="B788" s="21"/>
      <c r="C788" s="21"/>
    </row>
    <row r="789" spans="2:3" ht="14.25" customHeight="1" x14ac:dyDescent="0.55000000000000004">
      <c r="B789" s="21"/>
      <c r="C789" s="21"/>
    </row>
    <row r="790" spans="2:3" ht="14.25" customHeight="1" x14ac:dyDescent="0.55000000000000004">
      <c r="B790" s="21"/>
      <c r="C790" s="21"/>
    </row>
    <row r="791" spans="2:3" ht="14.25" customHeight="1" x14ac:dyDescent="0.55000000000000004">
      <c r="B791" s="21"/>
      <c r="C791" s="21"/>
    </row>
    <row r="792" spans="2:3" ht="14.25" customHeight="1" x14ac:dyDescent="0.55000000000000004">
      <c r="B792" s="21"/>
      <c r="C792" s="21"/>
    </row>
    <row r="793" spans="2:3" ht="14.25" customHeight="1" x14ac:dyDescent="0.55000000000000004">
      <c r="B793" s="21"/>
      <c r="C793" s="21"/>
    </row>
    <row r="794" spans="2:3" ht="14.25" customHeight="1" x14ac:dyDescent="0.55000000000000004">
      <c r="B794" s="21"/>
      <c r="C794" s="21"/>
    </row>
    <row r="795" spans="2:3" ht="14.25" customHeight="1" x14ac:dyDescent="0.55000000000000004">
      <c r="B795" s="21"/>
      <c r="C795" s="21"/>
    </row>
    <row r="796" spans="2:3" ht="14.25" customHeight="1" x14ac:dyDescent="0.55000000000000004">
      <c r="B796" s="21"/>
      <c r="C796" s="21"/>
    </row>
    <row r="797" spans="2:3" ht="14.25" customHeight="1" x14ac:dyDescent="0.55000000000000004">
      <c r="B797" s="21"/>
      <c r="C797" s="21"/>
    </row>
    <row r="798" spans="2:3" ht="14.25" customHeight="1" x14ac:dyDescent="0.55000000000000004">
      <c r="B798" s="21"/>
      <c r="C798" s="21"/>
    </row>
    <row r="799" spans="2:3" ht="14.25" customHeight="1" x14ac:dyDescent="0.55000000000000004">
      <c r="B799" s="21"/>
      <c r="C799" s="21"/>
    </row>
    <row r="800" spans="2:3" ht="14.25" customHeight="1" x14ac:dyDescent="0.55000000000000004">
      <c r="B800" s="21"/>
      <c r="C800" s="21"/>
    </row>
    <row r="801" spans="2:3" ht="14.25" customHeight="1" x14ac:dyDescent="0.55000000000000004">
      <c r="B801" s="21"/>
      <c r="C801" s="21"/>
    </row>
    <row r="802" spans="2:3" ht="14.25" customHeight="1" x14ac:dyDescent="0.55000000000000004">
      <c r="B802" s="21"/>
      <c r="C802" s="21"/>
    </row>
    <row r="803" spans="2:3" ht="14.25" customHeight="1" x14ac:dyDescent="0.55000000000000004">
      <c r="B803" s="21"/>
      <c r="C803" s="21"/>
    </row>
    <row r="804" spans="2:3" ht="14.25" customHeight="1" x14ac:dyDescent="0.55000000000000004">
      <c r="B804" s="21"/>
      <c r="C804" s="21"/>
    </row>
    <row r="805" spans="2:3" ht="14.25" customHeight="1" x14ac:dyDescent="0.55000000000000004">
      <c r="B805" s="21"/>
      <c r="C805" s="21"/>
    </row>
    <row r="806" spans="2:3" ht="14.25" customHeight="1" x14ac:dyDescent="0.55000000000000004">
      <c r="B806" s="21"/>
      <c r="C806" s="21"/>
    </row>
    <row r="807" spans="2:3" ht="14.25" customHeight="1" x14ac:dyDescent="0.55000000000000004">
      <c r="B807" s="21"/>
      <c r="C807" s="21"/>
    </row>
    <row r="808" spans="2:3" ht="14.25" customHeight="1" x14ac:dyDescent="0.55000000000000004">
      <c r="B808" s="21"/>
      <c r="C808" s="21"/>
    </row>
    <row r="809" spans="2:3" ht="14.25" customHeight="1" x14ac:dyDescent="0.55000000000000004">
      <c r="B809" s="21"/>
      <c r="C809" s="21"/>
    </row>
    <row r="810" spans="2:3" ht="14.25" customHeight="1" x14ac:dyDescent="0.55000000000000004">
      <c r="B810" s="21"/>
      <c r="C810" s="21"/>
    </row>
    <row r="811" spans="2:3" ht="14.25" customHeight="1" x14ac:dyDescent="0.55000000000000004">
      <c r="B811" s="21"/>
      <c r="C811" s="21"/>
    </row>
    <row r="812" spans="2:3" ht="14.25" customHeight="1" x14ac:dyDescent="0.55000000000000004">
      <c r="B812" s="21"/>
      <c r="C812" s="21"/>
    </row>
    <row r="813" spans="2:3" ht="14.25" customHeight="1" x14ac:dyDescent="0.55000000000000004">
      <c r="B813" s="21"/>
      <c r="C813" s="21"/>
    </row>
    <row r="814" spans="2:3" ht="14.25" customHeight="1" x14ac:dyDescent="0.55000000000000004">
      <c r="B814" s="21"/>
      <c r="C814" s="21"/>
    </row>
    <row r="815" spans="2:3" ht="14.25" customHeight="1" x14ac:dyDescent="0.55000000000000004">
      <c r="B815" s="21"/>
      <c r="C815" s="21"/>
    </row>
    <row r="816" spans="2:3" ht="14.25" customHeight="1" x14ac:dyDescent="0.55000000000000004">
      <c r="B816" s="21"/>
      <c r="C816" s="21"/>
    </row>
    <row r="817" spans="2:3" ht="14.25" customHeight="1" x14ac:dyDescent="0.55000000000000004">
      <c r="B817" s="21"/>
      <c r="C817" s="21"/>
    </row>
    <row r="818" spans="2:3" ht="14.25" customHeight="1" x14ac:dyDescent="0.55000000000000004">
      <c r="B818" s="21"/>
      <c r="C818" s="21"/>
    </row>
    <row r="819" spans="2:3" ht="14.25" customHeight="1" x14ac:dyDescent="0.55000000000000004">
      <c r="B819" s="21"/>
      <c r="C819" s="21"/>
    </row>
    <row r="820" spans="2:3" ht="14.25" customHeight="1" x14ac:dyDescent="0.55000000000000004">
      <c r="B820" s="21"/>
      <c r="C820" s="21"/>
    </row>
    <row r="821" spans="2:3" ht="14.25" customHeight="1" x14ac:dyDescent="0.55000000000000004">
      <c r="B821" s="21"/>
      <c r="C821" s="21"/>
    </row>
    <row r="822" spans="2:3" ht="14.25" customHeight="1" x14ac:dyDescent="0.55000000000000004">
      <c r="B822" s="21"/>
      <c r="C822" s="21"/>
    </row>
    <row r="823" spans="2:3" ht="14.25" customHeight="1" x14ac:dyDescent="0.55000000000000004">
      <c r="B823" s="21"/>
      <c r="C823" s="21"/>
    </row>
    <row r="824" spans="2:3" ht="14.25" customHeight="1" x14ac:dyDescent="0.55000000000000004">
      <c r="B824" s="21"/>
      <c r="C824" s="21"/>
    </row>
    <row r="825" spans="2:3" ht="14.25" customHeight="1" x14ac:dyDescent="0.55000000000000004">
      <c r="B825" s="21"/>
      <c r="C825" s="21"/>
    </row>
    <row r="826" spans="2:3" ht="14.25" customHeight="1" x14ac:dyDescent="0.55000000000000004">
      <c r="B826" s="21"/>
      <c r="C826" s="21"/>
    </row>
    <row r="827" spans="2:3" ht="14.25" customHeight="1" x14ac:dyDescent="0.55000000000000004">
      <c r="B827" s="21"/>
      <c r="C827" s="21"/>
    </row>
    <row r="828" spans="2:3" ht="14.25" customHeight="1" x14ac:dyDescent="0.55000000000000004">
      <c r="B828" s="21"/>
      <c r="C828" s="21"/>
    </row>
    <row r="829" spans="2:3" ht="14.25" customHeight="1" x14ac:dyDescent="0.55000000000000004">
      <c r="B829" s="21"/>
      <c r="C829" s="21"/>
    </row>
    <row r="830" spans="2:3" ht="14.25" customHeight="1" x14ac:dyDescent="0.55000000000000004">
      <c r="B830" s="21"/>
      <c r="C830" s="21"/>
    </row>
    <row r="831" spans="2:3" ht="14.25" customHeight="1" x14ac:dyDescent="0.55000000000000004">
      <c r="B831" s="21"/>
      <c r="C831" s="21"/>
    </row>
    <row r="832" spans="2:3" ht="14.25" customHeight="1" x14ac:dyDescent="0.55000000000000004">
      <c r="B832" s="21"/>
      <c r="C832" s="21"/>
    </row>
    <row r="833" spans="2:3" ht="14.25" customHeight="1" x14ac:dyDescent="0.55000000000000004">
      <c r="B833" s="21"/>
      <c r="C833" s="21"/>
    </row>
    <row r="834" spans="2:3" ht="14.25" customHeight="1" x14ac:dyDescent="0.55000000000000004">
      <c r="B834" s="21"/>
      <c r="C834" s="21"/>
    </row>
    <row r="835" spans="2:3" ht="14.25" customHeight="1" x14ac:dyDescent="0.55000000000000004">
      <c r="B835" s="21"/>
      <c r="C835" s="21"/>
    </row>
    <row r="836" spans="2:3" ht="14.25" customHeight="1" x14ac:dyDescent="0.55000000000000004">
      <c r="B836" s="21"/>
      <c r="C836" s="21"/>
    </row>
    <row r="837" spans="2:3" ht="14.25" customHeight="1" x14ac:dyDescent="0.55000000000000004">
      <c r="B837" s="21"/>
      <c r="C837" s="21"/>
    </row>
    <row r="838" spans="2:3" ht="14.25" customHeight="1" x14ac:dyDescent="0.55000000000000004">
      <c r="B838" s="21"/>
      <c r="C838" s="21"/>
    </row>
    <row r="839" spans="2:3" ht="14.25" customHeight="1" x14ac:dyDescent="0.55000000000000004">
      <c r="B839" s="21"/>
      <c r="C839" s="21"/>
    </row>
    <row r="840" spans="2:3" ht="14.25" customHeight="1" x14ac:dyDescent="0.55000000000000004">
      <c r="B840" s="21"/>
      <c r="C840" s="21"/>
    </row>
    <row r="841" spans="2:3" ht="14.25" customHeight="1" x14ac:dyDescent="0.55000000000000004">
      <c r="B841" s="21"/>
      <c r="C841" s="21"/>
    </row>
    <row r="842" spans="2:3" ht="14.25" customHeight="1" x14ac:dyDescent="0.55000000000000004">
      <c r="B842" s="21"/>
      <c r="C842" s="21"/>
    </row>
    <row r="843" spans="2:3" ht="14.25" customHeight="1" x14ac:dyDescent="0.55000000000000004">
      <c r="B843" s="21"/>
      <c r="C843" s="21"/>
    </row>
    <row r="844" spans="2:3" ht="14.25" customHeight="1" x14ac:dyDescent="0.55000000000000004">
      <c r="B844" s="21"/>
      <c r="C844" s="21"/>
    </row>
    <row r="845" spans="2:3" ht="14.25" customHeight="1" x14ac:dyDescent="0.55000000000000004">
      <c r="B845" s="21"/>
      <c r="C845" s="21"/>
    </row>
    <row r="846" spans="2:3" ht="14.25" customHeight="1" x14ac:dyDescent="0.55000000000000004">
      <c r="B846" s="21"/>
      <c r="C846" s="21"/>
    </row>
    <row r="847" spans="2:3" ht="14.25" customHeight="1" x14ac:dyDescent="0.55000000000000004">
      <c r="B847" s="21"/>
      <c r="C847" s="21"/>
    </row>
    <row r="848" spans="2:3" ht="14.25" customHeight="1" x14ac:dyDescent="0.55000000000000004">
      <c r="B848" s="21"/>
      <c r="C848" s="21"/>
    </row>
    <row r="849" spans="2:3" ht="14.25" customHeight="1" x14ac:dyDescent="0.55000000000000004">
      <c r="B849" s="21"/>
      <c r="C849" s="21"/>
    </row>
    <row r="850" spans="2:3" ht="14.25" customHeight="1" x14ac:dyDescent="0.55000000000000004">
      <c r="B850" s="21"/>
      <c r="C850" s="21"/>
    </row>
    <row r="851" spans="2:3" ht="14.25" customHeight="1" x14ac:dyDescent="0.55000000000000004">
      <c r="B851" s="21"/>
      <c r="C851" s="21"/>
    </row>
    <row r="852" spans="2:3" ht="14.25" customHeight="1" x14ac:dyDescent="0.55000000000000004">
      <c r="B852" s="21"/>
      <c r="C852" s="21"/>
    </row>
    <row r="853" spans="2:3" ht="14.25" customHeight="1" x14ac:dyDescent="0.55000000000000004">
      <c r="B853" s="21"/>
      <c r="C853" s="21"/>
    </row>
    <row r="854" spans="2:3" ht="14.25" customHeight="1" x14ac:dyDescent="0.55000000000000004">
      <c r="B854" s="21"/>
      <c r="C854" s="21"/>
    </row>
    <row r="855" spans="2:3" ht="14.25" customHeight="1" x14ac:dyDescent="0.55000000000000004">
      <c r="B855" s="21"/>
      <c r="C855" s="21"/>
    </row>
    <row r="856" spans="2:3" ht="14.25" customHeight="1" x14ac:dyDescent="0.55000000000000004">
      <c r="B856" s="21"/>
      <c r="C856" s="21"/>
    </row>
    <row r="857" spans="2:3" ht="14.25" customHeight="1" x14ac:dyDescent="0.55000000000000004">
      <c r="B857" s="21"/>
      <c r="C857" s="21"/>
    </row>
    <row r="858" spans="2:3" ht="14.25" customHeight="1" x14ac:dyDescent="0.55000000000000004">
      <c r="B858" s="21"/>
      <c r="C858" s="21"/>
    </row>
    <row r="859" spans="2:3" ht="14.25" customHeight="1" x14ac:dyDescent="0.55000000000000004">
      <c r="B859" s="21"/>
      <c r="C859" s="21"/>
    </row>
    <row r="860" spans="2:3" ht="14.25" customHeight="1" x14ac:dyDescent="0.55000000000000004">
      <c r="B860" s="21"/>
      <c r="C860" s="21"/>
    </row>
    <row r="861" spans="2:3" ht="14.25" customHeight="1" x14ac:dyDescent="0.55000000000000004">
      <c r="B861" s="21"/>
      <c r="C861" s="21"/>
    </row>
    <row r="862" spans="2:3" ht="14.25" customHeight="1" x14ac:dyDescent="0.55000000000000004">
      <c r="B862" s="21"/>
      <c r="C862" s="21"/>
    </row>
    <row r="863" spans="2:3" ht="14.25" customHeight="1" x14ac:dyDescent="0.55000000000000004">
      <c r="B863" s="21"/>
      <c r="C863" s="21"/>
    </row>
    <row r="864" spans="2:3" ht="14.25" customHeight="1" x14ac:dyDescent="0.55000000000000004">
      <c r="B864" s="21"/>
      <c r="C864" s="21"/>
    </row>
    <row r="865" spans="2:3" ht="14.25" customHeight="1" x14ac:dyDescent="0.55000000000000004">
      <c r="B865" s="21"/>
      <c r="C865" s="21"/>
    </row>
    <row r="866" spans="2:3" ht="14.25" customHeight="1" x14ac:dyDescent="0.55000000000000004">
      <c r="B866" s="21"/>
      <c r="C866" s="21"/>
    </row>
    <row r="867" spans="2:3" ht="14.25" customHeight="1" x14ac:dyDescent="0.55000000000000004">
      <c r="B867" s="21"/>
      <c r="C867" s="21"/>
    </row>
    <row r="868" spans="2:3" ht="14.25" customHeight="1" x14ac:dyDescent="0.55000000000000004">
      <c r="B868" s="21"/>
      <c r="C868" s="21"/>
    </row>
    <row r="869" spans="2:3" ht="14.25" customHeight="1" x14ac:dyDescent="0.55000000000000004">
      <c r="B869" s="21"/>
      <c r="C869" s="21"/>
    </row>
    <row r="870" spans="2:3" ht="14.25" customHeight="1" x14ac:dyDescent="0.55000000000000004">
      <c r="B870" s="21"/>
      <c r="C870" s="21"/>
    </row>
    <row r="871" spans="2:3" ht="14.25" customHeight="1" x14ac:dyDescent="0.55000000000000004">
      <c r="B871" s="21"/>
      <c r="C871" s="21"/>
    </row>
    <row r="872" spans="2:3" ht="14.25" customHeight="1" x14ac:dyDescent="0.55000000000000004">
      <c r="B872" s="21"/>
      <c r="C872" s="21"/>
    </row>
    <row r="873" spans="2:3" ht="14.25" customHeight="1" x14ac:dyDescent="0.55000000000000004">
      <c r="B873" s="21"/>
      <c r="C873" s="21"/>
    </row>
    <row r="874" spans="2:3" ht="14.25" customHeight="1" x14ac:dyDescent="0.55000000000000004">
      <c r="B874" s="21"/>
      <c r="C874" s="21"/>
    </row>
    <row r="875" spans="2:3" ht="14.25" customHeight="1" x14ac:dyDescent="0.55000000000000004">
      <c r="B875" s="21"/>
      <c r="C875" s="21"/>
    </row>
    <row r="876" spans="2:3" ht="14.25" customHeight="1" x14ac:dyDescent="0.55000000000000004">
      <c r="B876" s="21"/>
      <c r="C876" s="21"/>
    </row>
    <row r="877" spans="2:3" ht="14.25" customHeight="1" x14ac:dyDescent="0.55000000000000004">
      <c r="B877" s="21"/>
      <c r="C877" s="21"/>
    </row>
    <row r="878" spans="2:3" ht="14.25" customHeight="1" x14ac:dyDescent="0.55000000000000004">
      <c r="B878" s="21"/>
      <c r="C878" s="21"/>
    </row>
    <row r="879" spans="2:3" ht="14.25" customHeight="1" x14ac:dyDescent="0.55000000000000004">
      <c r="B879" s="21"/>
      <c r="C879" s="21"/>
    </row>
    <row r="880" spans="2:3" ht="14.25" customHeight="1" x14ac:dyDescent="0.55000000000000004">
      <c r="B880" s="21"/>
      <c r="C880" s="21"/>
    </row>
    <row r="881" spans="2:3" ht="14.25" customHeight="1" x14ac:dyDescent="0.55000000000000004">
      <c r="B881" s="21"/>
      <c r="C881" s="21"/>
    </row>
    <row r="882" spans="2:3" ht="14.25" customHeight="1" x14ac:dyDescent="0.55000000000000004">
      <c r="B882" s="21"/>
      <c r="C882" s="21"/>
    </row>
    <row r="883" spans="2:3" ht="14.25" customHeight="1" x14ac:dyDescent="0.55000000000000004">
      <c r="B883" s="21"/>
      <c r="C883" s="21"/>
    </row>
    <row r="884" spans="2:3" ht="14.25" customHeight="1" x14ac:dyDescent="0.55000000000000004">
      <c r="B884" s="21"/>
      <c r="C884" s="21"/>
    </row>
    <row r="885" spans="2:3" ht="14.25" customHeight="1" x14ac:dyDescent="0.55000000000000004">
      <c r="B885" s="21"/>
      <c r="C885" s="21"/>
    </row>
    <row r="886" spans="2:3" ht="14.25" customHeight="1" x14ac:dyDescent="0.55000000000000004">
      <c r="B886" s="21"/>
      <c r="C886" s="21"/>
    </row>
    <row r="887" spans="2:3" ht="14.25" customHeight="1" x14ac:dyDescent="0.55000000000000004">
      <c r="B887" s="21"/>
      <c r="C887" s="21"/>
    </row>
    <row r="888" spans="2:3" ht="14.25" customHeight="1" x14ac:dyDescent="0.55000000000000004">
      <c r="B888" s="21"/>
      <c r="C888" s="21"/>
    </row>
    <row r="889" spans="2:3" ht="14.25" customHeight="1" x14ac:dyDescent="0.55000000000000004">
      <c r="B889" s="21"/>
      <c r="C889" s="21"/>
    </row>
    <row r="890" spans="2:3" ht="14.25" customHeight="1" x14ac:dyDescent="0.55000000000000004">
      <c r="B890" s="21"/>
      <c r="C890" s="21"/>
    </row>
    <row r="891" spans="2:3" ht="14.25" customHeight="1" x14ac:dyDescent="0.55000000000000004">
      <c r="B891" s="21"/>
      <c r="C891" s="21"/>
    </row>
    <row r="892" spans="2:3" ht="14.25" customHeight="1" x14ac:dyDescent="0.55000000000000004">
      <c r="B892" s="21"/>
      <c r="C892" s="21"/>
    </row>
    <row r="893" spans="2:3" ht="14.25" customHeight="1" x14ac:dyDescent="0.55000000000000004">
      <c r="B893" s="21"/>
      <c r="C893" s="21"/>
    </row>
    <row r="894" spans="2:3" ht="14.25" customHeight="1" x14ac:dyDescent="0.55000000000000004">
      <c r="B894" s="21"/>
      <c r="C894" s="21"/>
    </row>
    <row r="895" spans="2:3" ht="14.25" customHeight="1" x14ac:dyDescent="0.55000000000000004">
      <c r="B895" s="21"/>
      <c r="C895" s="21"/>
    </row>
    <row r="896" spans="2:3" ht="14.25" customHeight="1" x14ac:dyDescent="0.55000000000000004">
      <c r="B896" s="21"/>
      <c r="C896" s="21"/>
    </row>
    <row r="897" spans="2:3" ht="14.25" customHeight="1" x14ac:dyDescent="0.55000000000000004">
      <c r="B897" s="21"/>
      <c r="C897" s="21"/>
    </row>
    <row r="898" spans="2:3" ht="14.25" customHeight="1" x14ac:dyDescent="0.55000000000000004">
      <c r="B898" s="21"/>
      <c r="C898" s="21"/>
    </row>
    <row r="899" spans="2:3" ht="14.25" customHeight="1" x14ac:dyDescent="0.55000000000000004">
      <c r="B899" s="21"/>
      <c r="C899" s="21"/>
    </row>
    <row r="900" spans="2:3" ht="14.25" customHeight="1" x14ac:dyDescent="0.55000000000000004">
      <c r="B900" s="21"/>
      <c r="C900" s="21"/>
    </row>
    <row r="901" spans="2:3" ht="14.25" customHeight="1" x14ac:dyDescent="0.55000000000000004">
      <c r="B901" s="21"/>
      <c r="C901" s="21"/>
    </row>
    <row r="902" spans="2:3" ht="14.25" customHeight="1" x14ac:dyDescent="0.55000000000000004">
      <c r="B902" s="21"/>
      <c r="C902" s="21"/>
    </row>
    <row r="903" spans="2:3" ht="14.25" customHeight="1" x14ac:dyDescent="0.55000000000000004">
      <c r="B903" s="21"/>
      <c r="C903" s="21"/>
    </row>
    <row r="904" spans="2:3" ht="14.25" customHeight="1" x14ac:dyDescent="0.55000000000000004">
      <c r="B904" s="21"/>
      <c r="C904" s="21"/>
    </row>
    <row r="905" spans="2:3" ht="14.25" customHeight="1" x14ac:dyDescent="0.55000000000000004">
      <c r="B905" s="21"/>
      <c r="C905" s="21"/>
    </row>
    <row r="906" spans="2:3" ht="14.25" customHeight="1" x14ac:dyDescent="0.55000000000000004">
      <c r="B906" s="21"/>
      <c r="C906" s="21"/>
    </row>
    <row r="907" spans="2:3" ht="14.25" customHeight="1" x14ac:dyDescent="0.55000000000000004">
      <c r="B907" s="21"/>
      <c r="C907" s="21"/>
    </row>
    <row r="908" spans="2:3" ht="14.25" customHeight="1" x14ac:dyDescent="0.55000000000000004">
      <c r="B908" s="21"/>
      <c r="C908" s="21"/>
    </row>
    <row r="909" spans="2:3" ht="14.25" customHeight="1" x14ac:dyDescent="0.55000000000000004">
      <c r="B909" s="21"/>
      <c r="C909" s="21"/>
    </row>
    <row r="910" spans="2:3" ht="14.25" customHeight="1" x14ac:dyDescent="0.55000000000000004">
      <c r="B910" s="21"/>
      <c r="C910" s="21"/>
    </row>
    <row r="911" spans="2:3" ht="14.25" customHeight="1" x14ac:dyDescent="0.55000000000000004">
      <c r="B911" s="21"/>
      <c r="C911" s="21"/>
    </row>
    <row r="912" spans="2:3" ht="14.25" customHeight="1" x14ac:dyDescent="0.55000000000000004">
      <c r="B912" s="21"/>
      <c r="C912" s="21"/>
    </row>
    <row r="913" spans="2:3" ht="14.25" customHeight="1" x14ac:dyDescent="0.55000000000000004">
      <c r="B913" s="21"/>
      <c r="C913" s="21"/>
    </row>
    <row r="914" spans="2:3" ht="14.25" customHeight="1" x14ac:dyDescent="0.55000000000000004">
      <c r="B914" s="21"/>
      <c r="C914" s="21"/>
    </row>
    <row r="915" spans="2:3" ht="14.25" customHeight="1" x14ac:dyDescent="0.55000000000000004">
      <c r="B915" s="21"/>
      <c r="C915" s="21"/>
    </row>
    <row r="916" spans="2:3" ht="14.25" customHeight="1" x14ac:dyDescent="0.55000000000000004">
      <c r="B916" s="21"/>
      <c r="C916" s="21"/>
    </row>
    <row r="917" spans="2:3" ht="14.25" customHeight="1" x14ac:dyDescent="0.55000000000000004">
      <c r="B917" s="21"/>
      <c r="C917" s="21"/>
    </row>
    <row r="918" spans="2:3" ht="14.25" customHeight="1" x14ac:dyDescent="0.55000000000000004">
      <c r="B918" s="21"/>
      <c r="C918" s="21"/>
    </row>
    <row r="919" spans="2:3" ht="14.25" customHeight="1" x14ac:dyDescent="0.55000000000000004">
      <c r="B919" s="21"/>
      <c r="C919" s="21"/>
    </row>
    <row r="920" spans="2:3" ht="14.25" customHeight="1" x14ac:dyDescent="0.55000000000000004">
      <c r="B920" s="21"/>
      <c r="C920" s="21"/>
    </row>
    <row r="921" spans="2:3" ht="14.25" customHeight="1" x14ac:dyDescent="0.55000000000000004">
      <c r="B921" s="21"/>
      <c r="C921" s="21"/>
    </row>
    <row r="922" spans="2:3" ht="14.25" customHeight="1" x14ac:dyDescent="0.55000000000000004">
      <c r="B922" s="21"/>
      <c r="C922" s="21"/>
    </row>
    <row r="923" spans="2:3" ht="14.25" customHeight="1" x14ac:dyDescent="0.55000000000000004">
      <c r="B923" s="21"/>
      <c r="C923" s="21"/>
    </row>
    <row r="924" spans="2:3" ht="14.25" customHeight="1" x14ac:dyDescent="0.55000000000000004">
      <c r="B924" s="21"/>
      <c r="C924" s="21"/>
    </row>
    <row r="925" spans="2:3" ht="14.25" customHeight="1" x14ac:dyDescent="0.55000000000000004">
      <c r="B925" s="21"/>
      <c r="C925" s="21"/>
    </row>
    <row r="926" spans="2:3" ht="14.25" customHeight="1" x14ac:dyDescent="0.55000000000000004">
      <c r="B926" s="21"/>
      <c r="C926" s="21"/>
    </row>
    <row r="927" spans="2:3" ht="14.25" customHeight="1" x14ac:dyDescent="0.55000000000000004">
      <c r="B927" s="21"/>
      <c r="C927" s="21"/>
    </row>
    <row r="928" spans="2:3" ht="14.25" customHeight="1" x14ac:dyDescent="0.55000000000000004">
      <c r="B928" s="21"/>
      <c r="C928" s="21"/>
    </row>
    <row r="929" spans="2:3" ht="14.25" customHeight="1" x14ac:dyDescent="0.55000000000000004">
      <c r="B929" s="21"/>
      <c r="C929" s="21"/>
    </row>
    <row r="930" spans="2:3" ht="14.25" customHeight="1" x14ac:dyDescent="0.55000000000000004">
      <c r="B930" s="21"/>
      <c r="C930" s="21"/>
    </row>
    <row r="931" spans="2:3" ht="14.25" customHeight="1" x14ac:dyDescent="0.55000000000000004">
      <c r="B931" s="21"/>
      <c r="C931" s="21"/>
    </row>
    <row r="932" spans="2:3" ht="14.25" customHeight="1" x14ac:dyDescent="0.55000000000000004">
      <c r="B932" s="21"/>
      <c r="C932" s="21"/>
    </row>
    <row r="933" spans="2:3" ht="14.25" customHeight="1" x14ac:dyDescent="0.55000000000000004">
      <c r="B933" s="21"/>
      <c r="C933" s="21"/>
    </row>
    <row r="934" spans="2:3" ht="14.25" customHeight="1" x14ac:dyDescent="0.55000000000000004">
      <c r="B934" s="21"/>
      <c r="C934" s="21"/>
    </row>
    <row r="935" spans="2:3" ht="14.25" customHeight="1" x14ac:dyDescent="0.55000000000000004">
      <c r="B935" s="21"/>
      <c r="C935" s="21"/>
    </row>
    <row r="936" spans="2:3" ht="14.25" customHeight="1" x14ac:dyDescent="0.55000000000000004">
      <c r="B936" s="21"/>
      <c r="C936" s="21"/>
    </row>
    <row r="937" spans="2:3" ht="14.25" customHeight="1" x14ac:dyDescent="0.55000000000000004">
      <c r="B937" s="21"/>
      <c r="C937" s="21"/>
    </row>
    <row r="938" spans="2:3" ht="14.25" customHeight="1" x14ac:dyDescent="0.55000000000000004">
      <c r="B938" s="21"/>
      <c r="C938" s="21"/>
    </row>
    <row r="939" spans="2:3" ht="14.25" customHeight="1" x14ac:dyDescent="0.55000000000000004">
      <c r="B939" s="21"/>
      <c r="C939" s="21"/>
    </row>
    <row r="940" spans="2:3" ht="14.25" customHeight="1" x14ac:dyDescent="0.55000000000000004">
      <c r="B940" s="21"/>
      <c r="C940" s="21"/>
    </row>
    <row r="941" spans="2:3" ht="14.25" customHeight="1" x14ac:dyDescent="0.55000000000000004">
      <c r="B941" s="21"/>
      <c r="C941" s="21"/>
    </row>
    <row r="942" spans="2:3" ht="14.25" customHeight="1" x14ac:dyDescent="0.55000000000000004">
      <c r="B942" s="21"/>
      <c r="C942" s="21"/>
    </row>
    <row r="943" spans="2:3" ht="14.25" customHeight="1" x14ac:dyDescent="0.55000000000000004">
      <c r="B943" s="21"/>
      <c r="C943" s="21"/>
    </row>
    <row r="944" spans="2:3" ht="14.25" customHeight="1" x14ac:dyDescent="0.55000000000000004">
      <c r="B944" s="21"/>
      <c r="C944" s="21"/>
    </row>
    <row r="945" spans="2:3" ht="14.25" customHeight="1" x14ac:dyDescent="0.55000000000000004">
      <c r="B945" s="21"/>
      <c r="C945" s="21"/>
    </row>
    <row r="946" spans="2:3" ht="14.25" customHeight="1" x14ac:dyDescent="0.55000000000000004">
      <c r="B946" s="21"/>
      <c r="C946" s="21"/>
    </row>
    <row r="947" spans="2:3" ht="14.25" customHeight="1" x14ac:dyDescent="0.55000000000000004">
      <c r="B947" s="21"/>
      <c r="C947" s="21"/>
    </row>
    <row r="948" spans="2:3" ht="14.25" customHeight="1" x14ac:dyDescent="0.55000000000000004">
      <c r="B948" s="21"/>
      <c r="C948" s="21"/>
    </row>
    <row r="949" spans="2:3" ht="14.25" customHeight="1" x14ac:dyDescent="0.55000000000000004">
      <c r="B949" s="21"/>
      <c r="C949" s="21"/>
    </row>
    <row r="950" spans="2:3" ht="14.25" customHeight="1" x14ac:dyDescent="0.55000000000000004">
      <c r="B950" s="21"/>
      <c r="C950" s="21"/>
    </row>
    <row r="951" spans="2:3" ht="14.25" customHeight="1" x14ac:dyDescent="0.55000000000000004">
      <c r="B951" s="21"/>
      <c r="C951" s="21"/>
    </row>
    <row r="952" spans="2:3" ht="14.25" customHeight="1" x14ac:dyDescent="0.55000000000000004">
      <c r="B952" s="21"/>
      <c r="C952" s="21"/>
    </row>
    <row r="953" spans="2:3" ht="14.25" customHeight="1" x14ac:dyDescent="0.55000000000000004">
      <c r="B953" s="21"/>
      <c r="C953" s="21"/>
    </row>
    <row r="954" spans="2:3" ht="14.25" customHeight="1" x14ac:dyDescent="0.55000000000000004">
      <c r="B954" s="21"/>
      <c r="C954" s="21"/>
    </row>
    <row r="955" spans="2:3" ht="14.25" customHeight="1" x14ac:dyDescent="0.55000000000000004">
      <c r="B955" s="21"/>
      <c r="C955" s="21"/>
    </row>
    <row r="956" spans="2:3" ht="14.25" customHeight="1" x14ac:dyDescent="0.55000000000000004">
      <c r="B956" s="21"/>
      <c r="C956" s="21"/>
    </row>
    <row r="957" spans="2:3" ht="14.25" customHeight="1" x14ac:dyDescent="0.55000000000000004">
      <c r="B957" s="21"/>
      <c r="C957" s="21"/>
    </row>
    <row r="958" spans="2:3" ht="14.25" customHeight="1" x14ac:dyDescent="0.55000000000000004">
      <c r="B958" s="21"/>
      <c r="C958" s="21"/>
    </row>
    <row r="959" spans="2:3" ht="14.25" customHeight="1" x14ac:dyDescent="0.55000000000000004">
      <c r="B959" s="21"/>
      <c r="C959" s="21"/>
    </row>
    <row r="960" spans="2:3" ht="14.25" customHeight="1" x14ac:dyDescent="0.55000000000000004">
      <c r="B960" s="21"/>
      <c r="C960" s="21"/>
    </row>
    <row r="961" spans="2:3" ht="14.25" customHeight="1" x14ac:dyDescent="0.55000000000000004">
      <c r="B961" s="21"/>
      <c r="C961" s="21"/>
    </row>
    <row r="962" spans="2:3" ht="14.25" customHeight="1" x14ac:dyDescent="0.55000000000000004">
      <c r="B962" s="21"/>
      <c r="C962" s="21"/>
    </row>
    <row r="963" spans="2:3" ht="14.25" customHeight="1" x14ac:dyDescent="0.55000000000000004">
      <c r="B963" s="21"/>
      <c r="C963" s="21"/>
    </row>
    <row r="964" spans="2:3" ht="14.25" customHeight="1" x14ac:dyDescent="0.55000000000000004">
      <c r="B964" s="21"/>
      <c r="C964" s="21"/>
    </row>
    <row r="965" spans="2:3" ht="14.25" customHeight="1" x14ac:dyDescent="0.55000000000000004">
      <c r="B965" s="21"/>
      <c r="C965" s="21"/>
    </row>
    <row r="966" spans="2:3" ht="14.25" customHeight="1" x14ac:dyDescent="0.55000000000000004">
      <c r="B966" s="21"/>
      <c r="C966" s="21"/>
    </row>
    <row r="967" spans="2:3" ht="14.25" customHeight="1" x14ac:dyDescent="0.55000000000000004">
      <c r="B967" s="21"/>
      <c r="C967" s="21"/>
    </row>
    <row r="968" spans="2:3" ht="14.25" customHeight="1" x14ac:dyDescent="0.55000000000000004">
      <c r="B968" s="21"/>
      <c r="C968" s="21"/>
    </row>
    <row r="969" spans="2:3" ht="14.25" customHeight="1" x14ac:dyDescent="0.55000000000000004">
      <c r="B969" s="21"/>
      <c r="C969" s="21"/>
    </row>
    <row r="970" spans="2:3" ht="14.25" customHeight="1" x14ac:dyDescent="0.55000000000000004">
      <c r="B970" s="21"/>
      <c r="C970" s="21"/>
    </row>
    <row r="971" spans="2:3" ht="14.25" customHeight="1" x14ac:dyDescent="0.55000000000000004">
      <c r="B971" s="21"/>
      <c r="C971" s="21"/>
    </row>
    <row r="972" spans="2:3" ht="14.25" customHeight="1" x14ac:dyDescent="0.55000000000000004">
      <c r="B972" s="21"/>
      <c r="C972" s="21"/>
    </row>
    <row r="973" spans="2:3" ht="14.25" customHeight="1" x14ac:dyDescent="0.55000000000000004">
      <c r="B973" s="21"/>
      <c r="C973" s="21"/>
    </row>
    <row r="974" spans="2:3" ht="14.25" customHeight="1" x14ac:dyDescent="0.55000000000000004">
      <c r="B974" s="21"/>
      <c r="C974" s="21"/>
    </row>
    <row r="975" spans="2:3" ht="14.25" customHeight="1" x14ac:dyDescent="0.55000000000000004">
      <c r="B975" s="21"/>
      <c r="C975" s="21"/>
    </row>
    <row r="976" spans="2:3" ht="14.25" customHeight="1" x14ac:dyDescent="0.55000000000000004">
      <c r="B976" s="21"/>
      <c r="C976" s="21"/>
    </row>
    <row r="977" spans="2:3" ht="14.25" customHeight="1" x14ac:dyDescent="0.55000000000000004">
      <c r="B977" s="21"/>
      <c r="C977" s="21"/>
    </row>
    <row r="978" spans="2:3" ht="14.25" customHeight="1" x14ac:dyDescent="0.55000000000000004">
      <c r="B978" s="21"/>
      <c r="C978" s="21"/>
    </row>
    <row r="979" spans="2:3" ht="14.25" customHeight="1" x14ac:dyDescent="0.55000000000000004">
      <c r="B979" s="21"/>
      <c r="C979" s="21"/>
    </row>
    <row r="980" spans="2:3" ht="14.25" customHeight="1" x14ac:dyDescent="0.55000000000000004">
      <c r="B980" s="21"/>
      <c r="C980" s="21"/>
    </row>
    <row r="981" spans="2:3" ht="14.25" customHeight="1" x14ac:dyDescent="0.55000000000000004">
      <c r="B981" s="21"/>
      <c r="C981" s="21"/>
    </row>
    <row r="982" spans="2:3" ht="14.25" customHeight="1" x14ac:dyDescent="0.55000000000000004">
      <c r="B982" s="21"/>
      <c r="C982" s="21"/>
    </row>
    <row r="983" spans="2:3" ht="14.25" customHeight="1" x14ac:dyDescent="0.55000000000000004">
      <c r="B983" s="21"/>
      <c r="C983" s="21"/>
    </row>
    <row r="984" spans="2:3" ht="14.25" customHeight="1" x14ac:dyDescent="0.55000000000000004">
      <c r="B984" s="21"/>
      <c r="C984" s="21"/>
    </row>
    <row r="985" spans="2:3" ht="14.25" customHeight="1" x14ac:dyDescent="0.55000000000000004">
      <c r="B985" s="21"/>
      <c r="C985" s="21"/>
    </row>
    <row r="986" spans="2:3" ht="14.25" customHeight="1" x14ac:dyDescent="0.55000000000000004">
      <c r="B986" s="21"/>
      <c r="C986" s="21"/>
    </row>
    <row r="987" spans="2:3" ht="14.25" customHeight="1" x14ac:dyDescent="0.55000000000000004">
      <c r="B987" s="21"/>
      <c r="C987" s="21"/>
    </row>
    <row r="988" spans="2:3" ht="14.25" customHeight="1" x14ac:dyDescent="0.55000000000000004">
      <c r="B988" s="21"/>
      <c r="C988" s="21"/>
    </row>
    <row r="989" spans="2:3" ht="14.25" customHeight="1" x14ac:dyDescent="0.55000000000000004">
      <c r="B989" s="21"/>
      <c r="C989" s="21"/>
    </row>
    <row r="990" spans="2:3" ht="14.25" customHeight="1" x14ac:dyDescent="0.55000000000000004">
      <c r="B990" s="21"/>
      <c r="C990" s="21"/>
    </row>
    <row r="991" spans="2:3" ht="14.25" customHeight="1" x14ac:dyDescent="0.55000000000000004">
      <c r="B991" s="21"/>
      <c r="C991" s="21"/>
    </row>
    <row r="992" spans="2:3" ht="14.25" customHeight="1" x14ac:dyDescent="0.55000000000000004">
      <c r="B992" s="21"/>
      <c r="C992" s="21"/>
    </row>
    <row r="993" spans="2:3" ht="14.25" customHeight="1" x14ac:dyDescent="0.55000000000000004">
      <c r="B993" s="21"/>
      <c r="C993" s="21"/>
    </row>
    <row r="994" spans="2:3" ht="14.25" customHeight="1" x14ac:dyDescent="0.55000000000000004">
      <c r="B994" s="21"/>
      <c r="C994" s="21"/>
    </row>
    <row r="995" spans="2:3" ht="14.25" customHeight="1" x14ac:dyDescent="0.55000000000000004">
      <c r="B995" s="21"/>
      <c r="C995" s="21"/>
    </row>
    <row r="996" spans="2:3" ht="14.25" customHeight="1" x14ac:dyDescent="0.55000000000000004">
      <c r="B996" s="21"/>
      <c r="C996" s="21"/>
    </row>
    <row r="997" spans="2:3" ht="14.25" customHeight="1" x14ac:dyDescent="0.55000000000000004">
      <c r="B997" s="21"/>
      <c r="C997" s="21"/>
    </row>
    <row r="998" spans="2:3" ht="14.25" customHeight="1" x14ac:dyDescent="0.55000000000000004">
      <c r="B998" s="21"/>
      <c r="C998" s="21"/>
    </row>
    <row r="999" spans="2:3" ht="14.25" customHeight="1" x14ac:dyDescent="0.55000000000000004">
      <c r="B999" s="21"/>
      <c r="C999" s="21"/>
    </row>
    <row r="1000" spans="2:3" ht="14.25" customHeight="1" x14ac:dyDescent="0.55000000000000004">
      <c r="B1000" s="21"/>
      <c r="C1000" s="2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personalist</vt:lpstr>
      <vt:lpstr>weekly hours</vt:lpstr>
      <vt:lpstr>labor 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xiaosong chen</dc:creator>
  <cp:lastModifiedBy>xiaosong chen</cp:lastModifiedBy>
  <dcterms:created xsi:type="dcterms:W3CDTF">2025-09-11T03:07:37Z</dcterms:created>
  <dcterms:modified xsi:type="dcterms:W3CDTF">2026-03-20T03:59:31Z</dcterms:modified>
</cp:coreProperties>
</file>